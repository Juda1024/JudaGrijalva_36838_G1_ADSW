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3.xml" ContentType="application/vnd.openxmlformats-officedocument.spreadsheetml.comments+xml"/>
  <Override PartName="/xl/charts/chart2.xml" ContentType="application/vnd.openxmlformats-officedocument.drawingml.chart+xml"/>
  <Override PartName="/xl/drawings/drawing3.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charts/chart3.xml" ContentType="application/vnd.openxmlformats-officedocument.drawingml.chart+xml"/>
  <Override PartName="/xl/drawings/drawing4.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1" ContentType="application/binary"/>
  <Override PartName="/xl/commentsmeta2" ContentType="application/binary"/>
  <Override PartName="/xl/commentsmeta3"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ECF3C587-FE1F-4EBE-B318-B33DA945717A}" xr6:coauthVersionLast="47" xr6:coauthVersionMax="47" xr10:uidLastSave="{00000000-0000-0000-0000-000000000000}"/>
  <bookViews>
    <workbookView xWindow="-108" yWindow="-108" windowWidth="23256" windowHeight="12456" xr2:uid="{00000000-000D-0000-FFFF-FFFF00000000}"/>
  </bookViews>
  <sheets>
    <sheet name="Matriz Ckeck LIst" sheetId="1" r:id="rId1"/>
    <sheet name="LISTA COMPROBACION RF-1" sheetId="2" r:id="rId2"/>
    <sheet name="LISTA COMPROBACION RF-2" sheetId="3" r:id="rId3"/>
    <sheet name="LISTA COMPROBACION RF-4" sheetId="4" r:id="rId4"/>
    <sheet name="LISTA COMPROBACION RF-8" sheetId="5" r:id="rId5"/>
    <sheet name="RECOMENDACIONES - RF-1" sheetId="6" r:id="rId6"/>
    <sheet name="RECOMENDACIONES - RF-2" sheetId="7" r:id="rId7"/>
    <sheet name="RECOMENDACIONES - RF-4" sheetId="8" r:id="rId8"/>
    <sheet name="RECOMENDACIONES - RF-8"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3" roundtripDataChecksum="c+15UN/Y6plZneQzVNvOwRy2S4Sze+PL9bZByeV0hzE="/>
    </ext>
  </extLst>
</workbook>
</file>

<file path=xl/calcChain.xml><?xml version="1.0" encoding="utf-8"?>
<calcChain xmlns="http://schemas.openxmlformats.org/spreadsheetml/2006/main">
  <c r="C36" i="5" l="1"/>
  <c r="D35" i="5"/>
  <c r="D36" i="5" s="1"/>
  <c r="C35" i="5"/>
  <c r="D28" i="5"/>
  <c r="D27" i="5"/>
  <c r="C27" i="5"/>
  <c r="C28" i="5" s="1"/>
  <c r="D17" i="5"/>
  <c r="D18" i="5" s="1"/>
  <c r="C17" i="5"/>
  <c r="C18" i="5" s="1"/>
  <c r="C36" i="4"/>
  <c r="D35" i="4"/>
  <c r="D36" i="4" s="1"/>
  <c r="C35" i="4"/>
  <c r="D28" i="4"/>
  <c r="D27" i="4"/>
  <c r="C27" i="4"/>
  <c r="C28" i="4" s="1"/>
  <c r="D17" i="4"/>
  <c r="D18" i="4" s="1"/>
  <c r="C17" i="4"/>
  <c r="C18" i="4" s="1"/>
  <c r="C36" i="3"/>
  <c r="D35" i="3"/>
  <c r="D36" i="3" s="1"/>
  <c r="C35" i="3"/>
  <c r="D28" i="3"/>
  <c r="D27" i="3"/>
  <c r="C27" i="3"/>
  <c r="C28" i="3" s="1"/>
  <c r="D17" i="3"/>
  <c r="D18" i="3" s="1"/>
  <c r="C17" i="3"/>
  <c r="C18" i="3" s="1"/>
  <c r="C36" i="2"/>
  <c r="D35" i="2"/>
  <c r="D36" i="2" s="1"/>
  <c r="C35" i="2"/>
  <c r="D28" i="2"/>
  <c r="D27" i="2"/>
  <c r="C27" i="2"/>
  <c r="C28" i="2" s="1"/>
  <c r="D17" i="2"/>
  <c r="D18" i="2" s="1"/>
  <c r="C17" i="2"/>
  <c r="C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0000-000013000000}">
      <text>
        <r>
          <rPr>
            <sz val="11"/>
            <color theme="1"/>
            <rFont val="Calibri"/>
            <scheme val="minor"/>
          </rPr>
          <t>======
ID#AAACHzgJi8Q
jeny ruiz    (2026-10-01 15:14:50)
Control del nivel de acuedo entre las partes Cliente y Desarrollador</t>
        </r>
      </text>
    </comment>
    <comment ref="F7" authorId="0" shapeId="0" xr:uid="{00000000-0006-0000-0000-000014000000}">
      <text>
        <r>
          <rPr>
            <sz val="11"/>
            <color theme="1"/>
            <rFont val="Calibri"/>
            <scheme val="minor"/>
          </rPr>
          <t>======
ID#AAACHzgJi7w
jeny ruiz    (2026-10-01 15:14:50)
La información contenida en memoria se utiliza para actualizar los campos de la base de datos.</t>
        </r>
      </text>
    </comment>
    <comment ref="G7" authorId="0" shapeId="0" xr:uid="{00000000-0006-0000-0000-000002000000}">
      <text>
        <r>
          <rPr>
            <sz val="11"/>
            <color theme="1"/>
            <rFont val="Calibri"/>
            <scheme val="minor"/>
          </rPr>
          <t>======
ID#AAACHzgJi7Q
jeny ruiz    (2026-10-01 15:14:50)
Control del nivel de acuedo entre las partes Cliente y Desarrollador</t>
        </r>
      </text>
    </comment>
    <comment ref="I7" authorId="0" shapeId="0" xr:uid="{00000000-0006-0000-0000-000004000000}">
      <text>
        <r>
          <rPr>
            <sz val="11"/>
            <color theme="1"/>
            <rFont val="Calibri"/>
            <scheme val="minor"/>
          </rPr>
          <t>======
ID#AAACHzgJi7s
jeny ruiz    (2026-10-01 15:14:50)
Se guarda en un archivo Excel los registros que dieron un problema en la actualización.</t>
        </r>
      </text>
    </comment>
    <comment ref="J7" authorId="0" shapeId="0" xr:uid="{00000000-0006-0000-0000-000005000000}">
      <text>
        <r>
          <rPr>
            <sz val="11"/>
            <color theme="1"/>
            <rFont val="Calibri"/>
            <scheme val="minor"/>
          </rPr>
          <t>======
ID#AAACHzgJi6o
jeny ruiz    (2026-10-01 15:14:50)
Control del nivel de acuedo entre las partes Cliente y Desarrollador</t>
        </r>
      </text>
    </comment>
    <comment ref="K7" authorId="0" shapeId="0" xr:uid="{00000000-0006-0000-0000-000006000000}">
      <text>
        <r>
          <rPr>
            <sz val="11"/>
            <color theme="1"/>
            <rFont val="Calibri"/>
            <scheme val="minor"/>
          </rPr>
          <t>======
ID#AAACHzgJi7Y
jeny ruiz    (2026-10-01 15:14:50)
jeny ruiz:
Posterior a la actualización, se guardaran automáticamente el nombre de usuario, fecha, hora, registro antiguo, registro nuevo.</t>
        </r>
      </text>
    </comment>
    <comment ref="C9" authorId="0" shapeId="0" xr:uid="{00000000-0006-0000-0000-000011000000}">
      <text>
        <r>
          <rPr>
            <sz val="11"/>
            <color theme="1"/>
            <rFont val="Calibri"/>
            <scheme val="minor"/>
          </rPr>
          <t>======
ID#AAACHzgJi6c
jeny ruiz    (2026-10-01 15:14:50)
Todos los interesados reconocen que el  requisito es correcto y relevante</t>
        </r>
      </text>
    </comment>
    <comment ref="F9" authorId="0" shapeId="0" xr:uid="{00000000-0006-0000-0000-000012000000}">
      <text>
        <r>
          <rPr>
            <sz val="11"/>
            <color theme="1"/>
            <rFont val="Calibri"/>
            <scheme val="minor"/>
          </rPr>
          <t>======
ID#AAACHzgJi7c
jeny ruiz    (2026-10-01 15:14:50)
Es importante ingresar el archivo plano en formato excel para el cliente y el desarrollador</t>
        </r>
      </text>
    </comment>
    <comment ref="I9" authorId="0" shapeId="0" xr:uid="{00000000-0006-0000-0000-000001000000}">
      <text>
        <r>
          <rPr>
            <sz val="11"/>
            <color theme="1"/>
            <rFont val="Calibri"/>
            <scheme val="minor"/>
          </rPr>
          <t>======
ID#AAACHzgJi88
jeny ruiz    (2026-10-01 15:14:50)
Es importante ingresar el archivo plano en formato excel para el cliente y el desarrollador</t>
        </r>
      </text>
    </comment>
    <comment ref="K9" authorId="0" shapeId="0" xr:uid="{00000000-0006-0000-0000-000003000000}">
      <text>
        <r>
          <rPr>
            <sz val="11"/>
            <color theme="1"/>
            <rFont val="Calibri"/>
            <scheme val="minor"/>
          </rPr>
          <t>======
ID#AAACHzgJi84
jeny ruiz    (2026-10-01 15:14:50)
Es importante ingresar el archivo plano en formato excel para el cliente y el desarrollador</t>
        </r>
      </text>
    </comment>
    <comment ref="C10" authorId="0" shapeId="0" xr:uid="{00000000-0006-0000-0000-000010000000}">
      <text>
        <r>
          <rPr>
            <sz val="11"/>
            <color theme="1"/>
            <rFont val="Calibri"/>
            <scheme val="minor"/>
          </rPr>
          <t>======
ID#AAACHzgJi8g
jeny ruiz    (2026-10-01 15:14:50)
Ponderado por importancia o prioridad</t>
        </r>
      </text>
    </comment>
    <comment ref="C11" authorId="0" shapeId="0" xr:uid="{00000000-0006-0000-0000-00000F000000}">
      <text>
        <r>
          <rPr>
            <sz val="11"/>
            <color theme="1"/>
            <rFont val="Calibri"/>
            <scheme val="minor"/>
          </rPr>
          <t>======
ID#AAACHzgJi70
jeny ruiz    (2026-10-01 15:14:50)
Todos los lectores comprenden de la misma manera, sólo una interpretación</t>
        </r>
      </text>
    </comment>
    <comment ref="C12" authorId="0" shapeId="0" xr:uid="{00000000-0006-0000-0000-00000E000000}">
      <text>
        <r>
          <rPr>
            <sz val="11"/>
            <color theme="1"/>
            <rFont val="Calibri"/>
            <scheme val="minor"/>
          </rPr>
          <t>======
ID#AAACHzgJi8c
jeny ruiz    (2026-10-01 15:14:50)
Toda nueva información  ha sido incorporada</t>
        </r>
      </text>
    </comment>
    <comment ref="C13" authorId="0" shapeId="0" xr:uid="{00000000-0006-0000-0000-00000D000000}">
      <text>
        <r>
          <rPr>
            <sz val="11"/>
            <color theme="1"/>
            <rFont val="Calibri"/>
            <scheme val="minor"/>
          </rPr>
          <t>======
ID#AAACHzgJi9U
jeny ruiz    (2026-10-01 15:14:50)
Refleja las espectativas  del implicado</t>
        </r>
      </text>
    </comment>
    <comment ref="C14" authorId="0" shapeId="0" xr:uid="{00000000-0006-0000-0000-00000C000000}">
      <text>
        <r>
          <rPr>
            <sz val="11"/>
            <color theme="1"/>
            <rFont val="Calibri"/>
            <scheme val="minor"/>
          </rPr>
          <t>======
ID#AAACHzgJi8Y
jeny ruiz    (2026-10-01 15:14:50)
Sin contradicciones</t>
        </r>
      </text>
    </comment>
    <comment ref="C15" authorId="0" shapeId="0" xr:uid="{00000000-0006-0000-0000-00000B000000}">
      <text>
        <r>
          <rPr>
            <sz val="11"/>
            <color theme="1"/>
            <rFont val="Calibri"/>
            <scheme val="minor"/>
          </rPr>
          <t>======
ID#AAACHzgJi8s
jeny ruiz    (2026-10-01 15:14:50)
Su cumplimiento o no cumplimiento puede der probado con un esfuerzo razonable</t>
        </r>
      </text>
    </comment>
    <comment ref="C16" authorId="0" shapeId="0" xr:uid="{00000000-0006-0000-0000-00000A000000}">
      <text>
        <r>
          <rPr>
            <sz val="11"/>
            <color theme="1"/>
            <rFont val="Calibri"/>
            <scheme val="minor"/>
          </rPr>
          <t>======
ID#AAACHzgJi74
jeny ruiz    (2026-10-01 15:14:50)
Puede ser implementado  y desarrollado en las condiciones actuales(tiempo, Presupuest,, orgtanizaciòn, ect)</t>
        </r>
      </text>
    </comment>
    <comment ref="C17" authorId="0" shapeId="0" xr:uid="{00000000-0006-0000-0000-000009000000}">
      <text>
        <r>
          <rPr>
            <sz val="11"/>
            <color theme="1"/>
            <rFont val="Calibri"/>
            <scheme val="minor"/>
          </rPr>
          <t>======
ID#AAACHzgJi6g
jeny ruiz    (2026-10-01 15:14:50)
El origen del requisito y sus relaciones con otros requisitos  están claros.</t>
        </r>
      </text>
    </comment>
    <comment ref="C18" authorId="0" shapeId="0" xr:uid="{00000000-0006-0000-0000-000008000000}">
      <text>
        <r>
          <rPr>
            <sz val="11"/>
            <color theme="1"/>
            <rFont val="Calibri"/>
            <scheme val="minor"/>
          </rPr>
          <t>======
ID#AAACHzgJi8k
jeny ruiz    (2026-10-01 15:14:50)
Trata todos los asuntos relevantes</t>
        </r>
      </text>
    </comment>
    <comment ref="C19" authorId="0" shapeId="0" xr:uid="{00000000-0006-0000-0000-000007000000}">
      <text>
        <r>
          <rPr>
            <sz val="11"/>
            <color theme="1"/>
            <rFont val="Calibri"/>
            <scheme val="minor"/>
          </rPr>
          <t>======
ID#AAACHzgJi9I
jeny ruiz    (2026-10-01 15:14:50)
Para todos los interesados dependiendo  de la fase del proyecto podrían estar involucrados  distintos implicados,(Glosario de tèrminos)</t>
        </r>
      </text>
    </comment>
  </commentList>
  <extLst>
    <ext xmlns:r="http://schemas.openxmlformats.org/officeDocument/2006/relationships" uri="GoogleSheetsCustomDataVersion2">
      <go:sheetsCustomData xmlns:go="http://customooxmlschemas.google.com/" r:id="rId1" roundtripDataSignature="AMtx7mj9R/nQIny1tzp3WjtwMdBzdfJAc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100-000009000000}">
      <text>
        <r>
          <rPr>
            <sz val="11"/>
            <color theme="1"/>
            <rFont val="Calibri"/>
            <scheme val="minor"/>
          </rPr>
          <t>======
ID#AAACHzgJi9M
ESPE    (2026-10-01 15:14:50)
COMPLETITUD DOCUMENTO</t>
        </r>
      </text>
    </comment>
    <comment ref="B9" authorId="0" shapeId="0" xr:uid="{00000000-0006-0000-0100-000008000000}">
      <text>
        <r>
          <rPr>
            <sz val="11"/>
            <color theme="1"/>
            <rFont val="Calibri"/>
            <scheme val="minor"/>
          </rPr>
          <t>======
ID#AAACHzgJi6k
ESPE    (2026-10-01 15:14:50)
COMPLETITUD REQUISITO INDIVIDUAL</t>
        </r>
      </text>
    </comment>
    <comment ref="B10" authorId="0" shapeId="0" xr:uid="{00000000-0006-0000-0100-000007000000}">
      <text>
        <r>
          <rPr>
            <sz val="11"/>
            <color theme="1"/>
            <rFont val="Calibri"/>
            <scheme val="minor"/>
          </rPr>
          <t>======
ID#AAACHzgJi8o
ESPE    (2026-10-01 15:14:50)
TRAZABILIDAD</t>
        </r>
      </text>
    </comment>
    <comment ref="B11" authorId="0" shapeId="0" xr:uid="{00000000-0006-0000-0100-000006000000}">
      <text>
        <r>
          <rPr>
            <sz val="11"/>
            <color theme="1"/>
            <rFont val="Calibri"/>
            <scheme val="minor"/>
          </rPr>
          <t>======
ID#AAACHzgJi6s
ESPE    (2026-10-01 15:14:50)
trazabilidad</t>
        </r>
      </text>
    </comment>
    <comment ref="B12" authorId="0" shapeId="0" xr:uid="{00000000-0006-0000-0100-000005000000}">
      <text>
        <r>
          <rPr>
            <sz val="11"/>
            <color theme="1"/>
            <rFont val="Calibri"/>
            <scheme val="minor"/>
          </rPr>
          <t>======
ID#AAACHzgJi8U
ESPE    (2026-10-01 15:14:50)
TRAZABILIDAD</t>
        </r>
      </text>
    </comment>
    <comment ref="B13" authorId="0" shapeId="0" xr:uid="{00000000-0006-0000-0100-000004000000}">
      <text>
        <r>
          <rPr>
            <sz val="11"/>
            <color theme="1"/>
            <rFont val="Calibri"/>
            <scheme val="minor"/>
          </rPr>
          <t>======
ID#AAACHzgJi9A
ESPE    (2026-10-01 15:14:50)
CORRECCION</t>
        </r>
      </text>
    </comment>
    <comment ref="B14" authorId="0" shapeId="0" xr:uid="{00000000-0006-0000-0100-000003000000}">
      <text>
        <r>
          <rPr>
            <sz val="11"/>
            <color theme="1"/>
            <rFont val="Calibri"/>
            <scheme val="minor"/>
          </rPr>
          <t>======
ID#AAACHzgJi7o
ESPE    (2026-10-01 15:14:50)
CONSISTENCIA</t>
        </r>
      </text>
    </comment>
    <comment ref="B15" authorId="0" shapeId="0" xr:uid="{00000000-0006-0000-0100-000002000000}">
      <text>
        <r>
          <rPr>
            <sz val="11"/>
            <color theme="1"/>
            <rFont val="Calibri"/>
            <scheme val="minor"/>
          </rPr>
          <t>======
ID#AAACHzgJi7g
ESPE    (2026-10-01 15:14:50)
NECESIDAD</t>
        </r>
      </text>
    </comment>
    <comment ref="B16" authorId="0" shapeId="0" xr:uid="{00000000-0006-0000-0100-000001000000}">
      <text>
        <r>
          <rPr>
            <sz val="11"/>
            <color theme="1"/>
            <rFont val="Calibri"/>
            <scheme val="minor"/>
          </rPr>
          <t>======
ID#AAACHzgJi8E
ESPE    (2026-10-01 15:14:50)
verificable</t>
        </r>
      </text>
    </comment>
  </commentList>
  <extLst>
    <ext xmlns:r="http://schemas.openxmlformats.org/officeDocument/2006/relationships" uri="GoogleSheetsCustomDataVersion2">
      <go:sheetsCustomData xmlns:go="http://customooxmlschemas.google.com/" r:id="rId1" roundtripDataSignature="AMtx7mjHrWqAjBAIl0MWeBCvyCguFcBhY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200-000009000000}">
      <text>
        <r>
          <rPr>
            <sz val="11"/>
            <color theme="1"/>
            <rFont val="Calibri"/>
            <scheme val="minor"/>
          </rPr>
          <t>======
ID#AAACHzgJi78
ESPE    (2026-10-01 15:14:50)
COMPLETITUD DOCUMENTO</t>
        </r>
      </text>
    </comment>
    <comment ref="B9" authorId="0" shapeId="0" xr:uid="{00000000-0006-0000-0200-000008000000}">
      <text>
        <r>
          <rPr>
            <sz val="11"/>
            <color theme="1"/>
            <rFont val="Calibri"/>
            <scheme val="minor"/>
          </rPr>
          <t>======
ID#AAACHzgJi6w
ESPE    (2026-10-01 15:14:50)
COMPLETITUD REQUISITO INDIVIDUAL</t>
        </r>
      </text>
    </comment>
    <comment ref="B10" authorId="0" shapeId="0" xr:uid="{00000000-0006-0000-0200-000007000000}">
      <text>
        <r>
          <rPr>
            <sz val="11"/>
            <color theme="1"/>
            <rFont val="Calibri"/>
            <scheme val="minor"/>
          </rPr>
          <t>======
ID#AAACHzgJi7U
ESPE    (2026-10-01 15:14:50)
TRAZABILIDAD</t>
        </r>
      </text>
    </comment>
    <comment ref="B11" authorId="0" shapeId="0" xr:uid="{00000000-0006-0000-0200-000006000000}">
      <text>
        <r>
          <rPr>
            <sz val="11"/>
            <color theme="1"/>
            <rFont val="Calibri"/>
            <scheme val="minor"/>
          </rPr>
          <t>======
ID#AAACHzgJi64
ESPE    (2026-10-01 15:14:50)
trazabilidad</t>
        </r>
      </text>
    </comment>
    <comment ref="B12" authorId="0" shapeId="0" xr:uid="{00000000-0006-0000-0200-000005000000}">
      <text>
        <r>
          <rPr>
            <sz val="11"/>
            <color theme="1"/>
            <rFont val="Calibri"/>
            <scheme val="minor"/>
          </rPr>
          <t>======
ID#AAACHzgJi60
ESPE    (2026-10-01 15:14:50)
TRAZABILIDAD</t>
        </r>
      </text>
    </comment>
    <comment ref="B13" authorId="0" shapeId="0" xr:uid="{00000000-0006-0000-0200-000004000000}">
      <text>
        <r>
          <rPr>
            <sz val="11"/>
            <color theme="1"/>
            <rFont val="Calibri"/>
            <scheme val="minor"/>
          </rPr>
          <t>======
ID#AAACHzgJi8A
ESPE    (2026-10-01 15:14:50)
CORRECCION</t>
        </r>
      </text>
    </comment>
    <comment ref="B14" authorId="0" shapeId="0" xr:uid="{00000000-0006-0000-0200-000003000000}">
      <text>
        <r>
          <rPr>
            <sz val="11"/>
            <color theme="1"/>
            <rFont val="Calibri"/>
            <scheme val="minor"/>
          </rPr>
          <t>======
ID#AAACHzgJi7k
ESPE    (2026-10-01 15:14:50)
CONSISTENCIA</t>
        </r>
      </text>
    </comment>
    <comment ref="B15" authorId="0" shapeId="0" xr:uid="{00000000-0006-0000-0200-000002000000}">
      <text>
        <r>
          <rPr>
            <sz val="11"/>
            <color theme="1"/>
            <rFont val="Calibri"/>
            <scheme val="minor"/>
          </rPr>
          <t>======
ID#AAACHzgJi7E
ESPE    (2026-10-01 15:14:50)
NECESIDAD</t>
        </r>
      </text>
    </comment>
    <comment ref="B16" authorId="0" shapeId="0" xr:uid="{00000000-0006-0000-0200-000001000000}">
      <text>
        <r>
          <rPr>
            <sz val="11"/>
            <color theme="1"/>
            <rFont val="Calibri"/>
            <scheme val="minor"/>
          </rPr>
          <t>======
ID#AAACHzgJi7I
ESPE    (2026-10-01 15:14:50)
verificable</t>
        </r>
      </text>
    </comment>
  </commentList>
  <extLst>
    <ext xmlns:r="http://schemas.openxmlformats.org/officeDocument/2006/relationships" uri="GoogleSheetsCustomDataVersion2">
      <go:sheetsCustomData xmlns:go="http://customooxmlschemas.google.com/" r:id="rId1" roundtripDataSignature="AMtx7mhWkUlXLBrkexiFBLZEClub4Byzj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8" authorId="0" shapeId="0" xr:uid="{00000000-0006-0000-0300-000009000000}">
      <text>
        <r>
          <rPr>
            <sz val="11"/>
            <color theme="1"/>
            <rFont val="Calibri"/>
            <scheme val="minor"/>
          </rPr>
          <t>======
ID#AAACHzgJi7M
ESPE    (2026-10-01 15:14:50)
COMPLETITUD DOCUMENTO</t>
        </r>
      </text>
    </comment>
    <comment ref="B9" authorId="0" shapeId="0" xr:uid="{00000000-0006-0000-0300-000008000000}">
      <text>
        <r>
          <rPr>
            <sz val="11"/>
            <color theme="1"/>
            <rFont val="Calibri"/>
            <scheme val="minor"/>
          </rPr>
          <t>======
ID#AAACHzgJi8w
ESPE    (2026-10-01 15:14:50)
COMPLETITUD REQUISITO INDIVIDUAL</t>
        </r>
      </text>
    </comment>
    <comment ref="B10" authorId="0" shapeId="0" xr:uid="{00000000-0006-0000-0300-000007000000}">
      <text>
        <r>
          <rPr>
            <sz val="11"/>
            <color theme="1"/>
            <rFont val="Calibri"/>
            <scheme val="minor"/>
          </rPr>
          <t>======
ID#AAACHzgJi9Q
ESPE    (2026-10-01 15:14:50)
TRAZABILIDAD</t>
        </r>
      </text>
    </comment>
    <comment ref="B11" authorId="0" shapeId="0" xr:uid="{00000000-0006-0000-0300-000006000000}">
      <text>
        <r>
          <rPr>
            <sz val="11"/>
            <color theme="1"/>
            <rFont val="Calibri"/>
            <scheme val="minor"/>
          </rPr>
          <t>======
ID#AAACHzgJi68
ESPE    (2026-10-01 15:14:50)
trazabilidad</t>
        </r>
      </text>
    </comment>
    <comment ref="B12" authorId="0" shapeId="0" xr:uid="{00000000-0006-0000-0300-000005000000}">
      <text>
        <r>
          <rPr>
            <sz val="11"/>
            <color theme="1"/>
            <rFont val="Calibri"/>
            <scheme val="minor"/>
          </rPr>
          <t>======
ID#AAACHzgJi7A
ESPE    (2026-10-01 15:14:50)
TRAZABILIDAD</t>
        </r>
      </text>
    </comment>
    <comment ref="B13" authorId="0" shapeId="0" xr:uid="{00000000-0006-0000-0300-000004000000}">
      <text>
        <r>
          <rPr>
            <sz val="11"/>
            <color theme="1"/>
            <rFont val="Calibri"/>
            <scheme val="minor"/>
          </rPr>
          <t>======
ID#AAACHzgJi8I
ESPE    (2026-10-01 15:14:50)
CORRECCION</t>
        </r>
      </text>
    </comment>
    <comment ref="B14" authorId="0" shapeId="0" xr:uid="{00000000-0006-0000-0300-000003000000}">
      <text>
        <r>
          <rPr>
            <sz val="11"/>
            <color theme="1"/>
            <rFont val="Calibri"/>
            <scheme val="minor"/>
          </rPr>
          <t>======
ID#AAACHzgJi8M
ESPE    (2026-10-01 15:14:50)
CONSISTENCIA</t>
        </r>
      </text>
    </comment>
    <comment ref="B15" authorId="0" shapeId="0" xr:uid="{00000000-0006-0000-0300-000002000000}">
      <text>
        <r>
          <rPr>
            <sz val="11"/>
            <color theme="1"/>
            <rFont val="Calibri"/>
            <scheme val="minor"/>
          </rPr>
          <t>======
ID#AAACHzgJi9E
ESPE    (2026-10-01 15:14:50)
NECESIDAD</t>
        </r>
      </text>
    </comment>
    <comment ref="B16" authorId="0" shapeId="0" xr:uid="{00000000-0006-0000-0300-000001000000}">
      <text>
        <r>
          <rPr>
            <sz val="11"/>
            <color theme="1"/>
            <rFont val="Calibri"/>
            <scheme val="minor"/>
          </rPr>
          <t>======
ID#AAACHzgJi80
ESPE    (2026-10-01 15:14:50)
verificable</t>
        </r>
      </text>
    </comment>
  </commentList>
  <extLst>
    <ext xmlns:r="http://schemas.openxmlformats.org/officeDocument/2006/relationships" uri="GoogleSheetsCustomDataVersion2">
      <go:sheetsCustomData xmlns:go="http://customooxmlschemas.google.com/" r:id="rId1" roundtripDataSignature="AMtx7mgkjoQcG3WoccDMEm1F6f6Q2ExxCg=="/>
    </ext>
  </extLst>
</comments>
</file>

<file path=xl/sharedStrings.xml><?xml version="1.0" encoding="utf-8"?>
<sst xmlns="http://schemas.openxmlformats.org/spreadsheetml/2006/main" count="409" uniqueCount="129">
  <si>
    <t>MATRIZ PARA COMPROBACIÓN REQUERIMIENTOS DE CALIDAD DE PROYECTO ACADEMICO</t>
  </si>
  <si>
    <t>SISTEMA:</t>
  </si>
  <si>
    <t>Pago Seguro Agrotac</t>
  </si>
  <si>
    <t>Requerimientos  Funcionales</t>
  </si>
  <si>
    <t>Nº</t>
  </si>
  <si>
    <t>CRITERIOS DE CALIDAD (Documento/Requerimientos)</t>
  </si>
  <si>
    <t>Status
Nivel de Acuerdo</t>
  </si>
  <si>
    <t xml:space="preserve">
RF-1: Gestionar acceso al sistema</t>
  </si>
  <si>
    <t>RF-2: Registrar Comprobante de Pago</t>
  </si>
  <si>
    <t>RF-4: Impotar Datos de Facturación</t>
  </si>
  <si>
    <t>RF-8: Gestionar notificaciones</t>
  </si>
  <si>
    <t>Agreed</t>
  </si>
  <si>
    <t>OK</t>
  </si>
  <si>
    <t>1. Videoconferencia de la entrevista
2. Minuta de la entrevista</t>
  </si>
  <si>
    <t>1. Revisión conjunta con el equipo y tutor en videollamada.
2. Minuta del análisis de requisitos y confirmación del alcance funcional.</t>
  </si>
  <si>
    <t xml:space="preserve">1. Videoconferencia de la entrevista                                                                                                                    2. Minuta de la entrevista
</t>
  </si>
  <si>
    <t>Videoconferencia de reunión con el cliente
Minuta de la entrevista donde se acordó el requisito
Documento ADS con la especificación del requisito</t>
  </si>
  <si>
    <t>Ranked</t>
  </si>
  <si>
    <t>NOK</t>
  </si>
  <si>
    <t>1. Se especifica como requisito obligatorio y crítico para la operación del sistema, ya que impacta directamente en la gestión financiera y trazabilidad de pagos.</t>
  </si>
  <si>
    <t>• En la descripción del caso de uso se especifica como requisito crítico para evitar morosidad
• Está vinculado a objetivos de negocio relacionados con la gestión de créditos</t>
  </si>
  <si>
    <t>Unambiguos</t>
  </si>
  <si>
    <t xml:space="preserve">1.  Redacción en lenguaje claro.                                                                               2. El tutor y el equipo interpretan de igual manera el caso de uso </t>
  </si>
  <si>
    <t>1. El lenguaje es claro y evita ambigüedades.
2. El equipo y el tutor interpretan el mismo flujo del caso de uso (registro, validación, acuse).</t>
  </si>
  <si>
    <t>• Redacción clara usando términos específicos: 'fecha límite', 'vencimiento', 'notificación'
• El tutor y el equipo interpretan de igual manera el caso de uso
• Flujo de secuencia bien definido sin ambigüedades</t>
  </si>
  <si>
    <t>Valid and up-to date</t>
  </si>
  <si>
    <t>1. Toda nueva información ha sido incorporada, se han incorporado los últimos cambios pedidos luego del feedback realizado por el cliente</t>
  </si>
  <si>
    <t>1. Faltan incorporar observaciones recientes del cliente respecto a la validación automática con bancos o pasarelas de pago.</t>
  </si>
  <si>
    <t>1. No se han incorporado los últimos cambios cambios tras el feedback realizado por el cliente</t>
  </si>
  <si>
    <t>Correct</t>
  </si>
  <si>
    <t>1. Está alineado con los objetivos del sistema.                                                                                                                                                                                                                        2. Refleja lo que realmente necesita el cliente.</t>
  </si>
  <si>
    <t>1. Está alineado con los objetivos O-5 (Evitar errores de registro) y O-7 (Trazabilidad de comprobantes).
2. Representa una necesidad real del proceso contable.</t>
  </si>
  <si>
    <t>• Alineado con objetivos del sistema de gestión de créditos
• Refleja la necesidad real del cliente de prevenir morosidad
• Contribuye al objetivo de trazabilidad de pagos</t>
  </si>
  <si>
    <t>Consisten</t>
  </si>
  <si>
    <t xml:space="preserve">1. Documentación basada en modelos: Diagrama de Casos de Uso.
</t>
  </si>
  <si>
    <t>1. El flujo del caso de uso es coherente con los modelos de datos y el Diagrama de Casos de Uso.
2. Mantiene consistencia con RF-3 (Procesar Pagos a Crédito).</t>
  </si>
  <si>
    <t xml:space="preserve">
1. Usa términos definidos previamente.                                                    2. Palabras repetitivas.                                              </t>
  </si>
  <si>
    <t xml:space="preserve">• Alineado con objetivos del sistema de gestión de créditos
• Refleja la necesidad real del cliente de prevenir morosidad
• Contribuye al objetivo de trazabilidad de pagos                    </t>
  </si>
  <si>
    <t>Verifiable</t>
  </si>
  <si>
    <t>1. Falta Casos de Prueba</t>
  </si>
  <si>
    <t>1. Aún no se han definido casos de prueba unitarios y de integración para validar duplicados y la generación del acuse.</t>
  </si>
  <si>
    <t>1. Se puede probar mediante archivos de entrada (correctos e incorrectos).
2. Se pueden revisar los resultados en la base de datos y en los módulos del sistema.
3. Se puede confirmar la generación de reportes de errores y la confirmación de importación.</t>
  </si>
  <si>
    <t>• Faltan casos de prueba específicos para validar la generación automática de notificaciones
• No se han definido criterios de aceptación medibles
• Falta especificar métricas de verificación</t>
  </si>
  <si>
    <t>Realizable</t>
  </si>
  <si>
    <t>1. Funcionalidad tomada en cuenta dentro de la estimación del costo del proyecto
2. No se ha desarrollado</t>
  </si>
  <si>
    <t>1. El desarrollo del módulo es técnicamente viable con los recursos actuales (framework, base de datos y arquitectura definidos).
2. Su implementación no requiere infraestructura adicional ni dependencias externas complejas.</t>
  </si>
  <si>
    <t>1. Todos los componentes técnicos están dentro del alcance de un desarrollo           2. Falta especificar protocolos y forma de migrar los datos</t>
  </si>
  <si>
    <t>• Funcionalidad considerada en el presupuesto
• Técnicamente viable con los recursos del sistema
• Dentro del alcance del desarrollo</t>
  </si>
  <si>
    <t>Traceable</t>
  </si>
  <si>
    <t>1. Es claro el origen del requisito y sus relaciones con otros requisitos (matriz de trazabilidad cliente/casos de uso y casos de uso/casos de uso) 
2. Cuenta con un identificador único</t>
  </si>
  <si>
    <t>1. Se encuentra relacionado con O-7 (Trazabilidad) y RNF-05 (Registro y Monitoreo).
2. Incluido en la matriz de trazabilidad entre requerimientos y casos de uso.</t>
  </si>
  <si>
    <t>1. Se muestra sus asociaciones con los usuarios en el caso de uso                         2. Cuenta con un identificador único    3. Se ve su asociación con otros caso de uso y su trayectoria.</t>
  </si>
  <si>
    <t>• Identificador único: RF-8.1, RF-8.2, RF-8.1
• Origen claro en entrevista con cliente
• Asociado a RNF-06, RNF-09, RNF-10 • Incluido en matriz de trazabilidad requisitos/casos de uso</t>
  </si>
  <si>
    <t>Complete</t>
  </si>
  <si>
    <t>1. Contiene toda la información necesaria (entradas, salidas, precondiciones, postcondiciones) para entender y diseñar la función. 
2. Describe completamente la funcionalidad esperada.</t>
  </si>
  <si>
    <t>1. Contiene entradas, validaciones, precondiciones, postcondiciones y actores claramente definidos.
2. Describe adecuadamente las reglas de negocio y los resultados esperados.</t>
  </si>
  <si>
    <t xml:space="preserve">1. No contiene toda la información necesaria como precondiciones o postcondiciones para entender y diseñar la función.                               </t>
  </si>
  <si>
    <t>• Contiene entradas: fecha actual, créditos registrados
• Salidas definidas: notificación al cliente
• Precondiciones y postcondiciones especificadas</t>
  </si>
  <si>
    <t>Understandability</t>
  </si>
  <si>
    <t>1. Se involucra al cliente
2. Existe glosario de términos</t>
  </si>
  <si>
    <t>1. El cliente participó en la definición del flujo y la validación de campos.
2. Existe glosario de términos contables y financieros en el documento de soporte.</t>
  </si>
  <si>
    <t xml:space="preserve">
1. No se aclaran los términos respaldado por un glosario </t>
  </si>
  <si>
    <t>• Cliente participó en la definición del requisito
• Existe glosario de términos del sistema
• Lenguaje claro y comprensible para todas las partes
• Términos técnicos explicados en documentación</t>
  </si>
  <si>
    <t>FECHA:</t>
  </si>
  <si>
    <t>AUTOR:</t>
  </si>
  <si>
    <t>Andy Conteron</t>
  </si>
  <si>
    <t>REQUERIMIENTOS EVALUADOS :</t>
  </si>
  <si>
    <t>César Luis Galarza Villalva</t>
  </si>
  <si>
    <t>CONTENIDO</t>
  </si>
  <si>
    <t>No.</t>
  </si>
  <si>
    <t xml:space="preserve">RF-1: Gestionar acceso al sistema
</t>
  </si>
  <si>
    <t>Uriel Andrade</t>
  </si>
  <si>
    <t>Pregunta</t>
  </si>
  <si>
    <t>SI</t>
  </si>
  <si>
    <t xml:space="preserve">NO </t>
  </si>
  <si>
    <t>Todos los requerimientos relevantes se han documentado?</t>
  </si>
  <si>
    <t>X</t>
  </si>
  <si>
    <t>Se han implementado las funciones requeridas?</t>
  </si>
  <si>
    <t xml:space="preserve"> Existe algún mecanismo que permita seguir el impacto de dicho requerimiento a lo largo del resto de las actividades del ciclo productivo.?</t>
  </si>
  <si>
    <t>El origen de cada requerimento individual está claro ?</t>
  </si>
  <si>
    <t>Que tan facil es devolverse a los requerimientos?</t>
  </si>
  <si>
    <t xml:space="preserve"> Los requerimientos reflejan las necesidades y deseos del cliente?</t>
  </si>
  <si>
    <t>No hay contradicciones entre los requerimientos?</t>
  </si>
  <si>
    <t>El requerimiento que se esta especificando contribuye a alcanzar un objetivo definido ?</t>
  </si>
  <si>
    <t>Existe un proceso acotado (en plazo y presupuesto) que permita determinar que el sistema construido satisface lo descrito en el propio requerimiento?</t>
  </si>
  <si>
    <t>SUMATORIA:</t>
  </si>
  <si>
    <t>PORCENTAJE :</t>
  </si>
  <si>
    <t>DOCUMENTACIÓN</t>
  </si>
  <si>
    <t>Aplica un estandar para la documetación de requerimiento?</t>
  </si>
  <si>
    <t>Cumple con la estructura definida por el estandar?</t>
  </si>
  <si>
    <t>Utiliza un Glosario de términos normalizado?</t>
  </si>
  <si>
    <t>Los requerimientos Funcionales estan sujetos a una única interpretación?</t>
  </si>
  <si>
    <t>El modelo aplicado cumple con la sintaxis?</t>
  </si>
  <si>
    <t>NIVEL DE ACUERDO</t>
  </si>
  <si>
    <t>Todos los requerimientos  han sido acordados con todos los interesados?</t>
  </si>
  <si>
    <t>Todos los requerimientos  modificados han sido acordados por todos los implicados?</t>
  </si>
  <si>
    <t>Han sido resueltos todos los conflictos conocidos respectos de los requerimientos?</t>
  </si>
  <si>
    <t>RESUMEN</t>
  </si>
  <si>
    <t xml:space="preserve">CONTENIDO </t>
  </si>
  <si>
    <t>PREGUNTA</t>
  </si>
  <si>
    <t>RECOMENDACIÓN</t>
  </si>
  <si>
    <t>¿Existe un proceso acotado (en plazo y presupuesto) que permita determinar que el sistema construido satisface lo descrito en el propio requerimiento?</t>
  </si>
  <si>
    <t>Se recomienda establecer un proceso formal de validación y verificación que permita determinar de manera objetiva si el sistema construido satisface lo descrito en los requerimientos del caso de uso “Acceso al sistema”. Este proceso debe estar claramente delimitado en cuanto a tiempo y presupuesto, e incluir actividades específicas de revisión, prueba y validación de los resultados. Asimismo, es necesario definir criterios de aceptación claros y medibles, basados en los requerimientos funcionales y no funcionales, e incorporar pruebas de aceptación por parte de los usuarios finales para confirmar que el sistema responde adecuadamente a sus necesidades. La documentación de los resultados obtenidos, junto con la trazabilidad entre requerimientos, casos de prueba y resultados, permitirá garantizar una adecuada cobertura y control del proceso. Con esta medida, se busca asegurar que el sistema cumpla con los objetivos planteados, minimizando riesgos de incumplimiento, retrabajo y desviaciones en el desarrollo.</t>
  </si>
  <si>
    <t>¿Los requerimientos Funcionales estan sujetos a una única interpretación? que permitan medir objetivamente el cumplimiento del 
requisito?</t>
  </si>
  <si>
    <t>Se recomienda revisar y reformular los requerimientos funcionales para asegurar que estén redactados de manera clara, precisa y sin ambigüedades, de modo que no den lugar a interpretaciones múltiples. Cada requerimiento debe expresar una sola intención funcional, utilizando un lenguaje técnico consistente y verificable. Es conveniente aplicar técnicas de revisión por pares y validación con los usuarios o responsables del negocio, con el fin de confirmar que todos los involucrados interpretan el requerimiento de la misma manera. Asimismo, se sugiere establecer criterios de aceptación objetivos que permitan comprobar su cumplimiento sin ambigüedad.</t>
  </si>
  <si>
    <t>Juda Benhur Grijalva Ñacato</t>
  </si>
  <si>
    <t xml:space="preserve">RF-8: Gestionar notificaciones
</t>
  </si>
  <si>
    <t>¿Se han incorporado todos los requerimientos de nivel cero al sistema?</t>
  </si>
  <si>
    <t>Se recomienda establecer un proceso formal de gestión de cambios que incluya el registro, revisión e incorporación de cada sugerencia recibida por parte del tutor o cliente, asegurando que los requisitos estén siempre actualizados, reflejen las expectativas reales y eviten ambigüedades o malentendidos en etapas posteriores del desarrollo.</t>
  </si>
  <si>
    <t>¿Se mantiene la coherencia con otros requisitos del sistema y utiliza términos o definiciones de forma uniforme a lo largo del documento?</t>
  </si>
  <si>
    <t>Aunque el requisito mantiene coherencia con los demás y utiliza los términos de forma uniforme, se recomienda revisar la redacción para eliminar palabras redundantes que no aportan valor, donde una redacción más concisa mejora la claridad del requisito.</t>
  </si>
  <si>
    <t>¿Se han definido criterios de aceptación y casos de prueba
 que permitan medir objetivamente el cumplimiento del 
requisito?</t>
  </si>
  <si>
    <t>Elaborar una lista de Criterios de Aceptación en formato Given-When-Then, asociada a pruebas unitarias o de aceptación automatizadas, de modo que cada criterio quede cubierto por al menos un caso de prueba.</t>
  </si>
  <si>
    <t>¿Todos los requerimientos  han sido acordados con todos los interesados?</t>
  </si>
  <si>
    <t>Se recomienda realizar sesiones de validación y consenso con todos los interesados clave antes de cerrar la especificación de requerimientos, esto asegurará que los requerimientos reflejen las necesidades puntuales.</t>
  </si>
  <si>
    <t>¿Existe algún mecanismo que permita seguir el impacto de dicho requerimiento a lo largo del resto de las actividades del ciclo productivo?</t>
  </si>
  <si>
    <t>¿Existen casos de prueba definidos que permitan verificar el cumplimiento del requisito?</t>
  </si>
  <si>
    <t xml:space="preserve">Implementar trazabilidad de requerimientos. Esto se logra registrando cada requerimiento en una matriz de trazabilidad, relacionándolo con: Casos de uso, Diseños de módulos, Pruebas, Entregables de desarrollo
</t>
  </si>
  <si>
    <t>Se debe elaborar un conjunto completo de casos de prueba para cada sub-requisito del RF-8:
RF-8.1: Casos de prueba que verifiquen la emisión de notificaciones cuando un crédito alcanza su fecha de vencimiento, incluyendo escenarios con diferentes tipos de créditos y fechas.
RF-8.2: Casos de prueba que validen la generación de notificaciones preventivas exactamente 3 días antes del vencimiento, considerando días hábiles, fines de semana y fechas especiales.
RF-8.3: Casos de prueba que confirmen la emisión de alertas para pagos vencidos sin abonos registrados, verificando la correcta identificación de deudas morosas.</t>
  </si>
  <si>
    <t xml:space="preserve">¿Se han definido criterios de aceptación y casos de prueba
 que permitan medir objetivamente el cumplimiento del 
requisito?
</t>
  </si>
  <si>
    <t>¿El requisito ha sido implementado y está funcional en el sistema?</t>
  </si>
  <si>
    <t>Para cada requerimiento, definir criterios de aceptación claros y medibles, por ejemplo: El sistema debe permitir crear un usuario en menos de 5 segundos</t>
  </si>
  <si>
    <t>Se recomienda iniciar el proceso de implementación del RF-8 según lo planificado en el presupuesto del proyecto. Es necesario:
Asignar los recursos técnicos necesarios para el desarrollo de las tres funcionalidades de notificación (RF-8.1, RF-8.2, RF-8.3).
Realizar pruebas unitarias e integrales durante el desarrollo para garantizar el correcto funcionamiento antes del despliegue final.
Coordinar con el cliente una demostración del módulo una vez completada la implementación para validar que cumple con sus expectativas.</t>
  </si>
  <si>
    <t xml:space="preserve">¿Existe un proceso acotado  que permita determinar que el sistema construido satisface lo descrito en el propio requerimiento?
</t>
  </si>
  <si>
    <t xml:space="preserve">Implementar un plan de validación y verificación que incluya:
Actividades de prueba con fechas y responsables definidos
Presupuesto estimado para pruebas y revisiones
</t>
  </si>
  <si>
    <t>¿Utiliza un Glosario de términos normalizado?</t>
  </si>
  <si>
    <t xml:space="preserve">Crear un glosario de términos del proyecto, con definiciones claras y consistentes.
</t>
  </si>
  <si>
    <t xml:space="preserve">1. El SRS especifica la prioridad del requisito como Obligatorio en la tabla de priorización de requisitos funcionales. </t>
  </si>
  <si>
    <t>1. El requisito está priorizado como Obligatorio en la tabla de requisitos funcionales. Además, es importante para actualizar la información de pagos y créditos.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</si>
</sst>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font>
      <sz val="11"/>
      <color theme="1"/>
      <name val="Calibri"/>
      <scheme val="minor"/>
    </font>
    <font>
      <sz val="8"/>
      <color theme="1"/>
      <name val="Arial"/>
    </font>
    <font>
      <b/>
      <sz val="18"/>
      <color rgb="FF1F497D"/>
      <name val="Calibri"/>
    </font>
    <font>
      <b/>
      <sz val="18"/>
      <color theme="1"/>
      <name val="Calibri"/>
    </font>
    <font>
      <b/>
      <sz val="18"/>
      <color theme="1"/>
      <name val="Arial"/>
    </font>
    <font>
      <sz val="11"/>
      <name val="Calibri"/>
    </font>
    <font>
      <b/>
      <sz val="12"/>
      <color theme="1"/>
      <name val="Arial"/>
    </font>
    <font>
      <b/>
      <sz val="11"/>
      <color theme="1"/>
      <name val="Arial"/>
    </font>
    <font>
      <sz val="11"/>
      <color theme="1"/>
      <name val="Calibri"/>
    </font>
    <font>
      <b/>
      <sz val="16"/>
      <color theme="0"/>
      <name val="Calibri"/>
    </font>
    <font>
      <b/>
      <sz val="16"/>
      <color theme="1"/>
      <name val="Calibri"/>
    </font>
    <font>
      <b/>
      <sz val="12"/>
      <color rgb="FFFFFFFF"/>
      <name val="Calibri"/>
    </font>
    <font>
      <sz val="11"/>
      <color theme="1"/>
      <name val="Calibri"/>
    </font>
    <font>
      <b/>
      <sz val="14"/>
      <color theme="1"/>
      <name val="Calibri"/>
    </font>
    <font>
      <sz val="14"/>
      <color theme="1"/>
      <name val="Calibri"/>
    </font>
    <font>
      <sz val="12"/>
      <color theme="1"/>
      <name val="Arial"/>
    </font>
    <font>
      <b/>
      <sz val="18"/>
      <color rgb="FFFA7D00"/>
      <name val="Calibri"/>
    </font>
    <font>
      <b/>
      <sz val="11"/>
      <color theme="0"/>
      <name val="Calibri"/>
    </font>
    <font>
      <b/>
      <sz val="11"/>
      <color rgb="FFFFFFFF"/>
      <name val="Calibri"/>
    </font>
    <font>
      <sz val="11"/>
      <color rgb="FF000000"/>
      <name val="Calibri"/>
    </font>
  </fonts>
  <fills count="10">
    <fill>
      <patternFill patternType="none"/>
    </fill>
    <fill>
      <patternFill patternType="gray125"/>
    </fill>
    <fill>
      <patternFill patternType="solid">
        <fgColor rgb="FFD8D8D8"/>
        <bgColor rgb="FFD8D8D8"/>
      </patternFill>
    </fill>
    <fill>
      <patternFill patternType="solid">
        <fgColor theme="4"/>
        <bgColor theme="4"/>
      </patternFill>
    </fill>
    <fill>
      <patternFill patternType="solid">
        <fgColor rgb="FF92D050"/>
        <bgColor rgb="FF92D050"/>
      </patternFill>
    </fill>
    <fill>
      <patternFill patternType="solid">
        <fgColor rgb="FFFF0000"/>
        <bgColor rgb="FFFF0000"/>
      </patternFill>
    </fill>
    <fill>
      <patternFill patternType="solid">
        <fgColor rgb="FF4F81BD"/>
        <bgColor rgb="FF4F81BD"/>
      </patternFill>
    </fill>
    <fill>
      <patternFill patternType="solid">
        <fgColor theme="0"/>
        <bgColor theme="0"/>
      </patternFill>
    </fill>
    <fill>
      <patternFill patternType="solid">
        <fgColor rgb="FFB8CCE4"/>
        <bgColor rgb="FFB8CCE4"/>
      </patternFill>
    </fill>
    <fill>
      <patternFill patternType="solid">
        <fgColor rgb="FFC2D69B"/>
        <bgColor rgb="FFC2D69B"/>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94">
    <xf numFmtId="0" fontId="0" fillId="0" borderId="0" xfId="0" applyFont="1" applyAlignment="1"/>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8" fillId="0" borderId="7" xfId="0" applyFont="1" applyBorder="1"/>
    <xf numFmtId="0" fontId="9" fillId="3" borderId="11" xfId="0" applyFont="1" applyFill="1" applyBorder="1" applyAlignment="1">
      <alignment horizontal="center" vertical="center" wrapText="1"/>
    </xf>
    <xf numFmtId="0" fontId="10" fillId="4" borderId="7" xfId="0" applyFont="1" applyFill="1" applyBorder="1" applyAlignment="1">
      <alignment horizontal="center" vertical="center" wrapText="1"/>
    </xf>
    <xf numFmtId="0" fontId="11" fillId="3" borderId="12"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2" fillId="0" borderId="0" xfId="0" applyFont="1"/>
    <xf numFmtId="0" fontId="11" fillId="3" borderId="12" xfId="0" applyFont="1" applyFill="1" applyBorder="1" applyAlignment="1">
      <alignment horizontal="left" vertical="center" wrapText="1"/>
    </xf>
    <xf numFmtId="0" fontId="10" fillId="5" borderId="7" xfId="0" applyFont="1" applyFill="1" applyBorder="1" applyAlignment="1">
      <alignment horizontal="center" vertical="center" wrapText="1"/>
    </xf>
    <xf numFmtId="0" fontId="11" fillId="3" borderId="7" xfId="0" applyFont="1" applyFill="1" applyBorder="1" applyAlignment="1">
      <alignment vertical="center" wrapText="1"/>
    </xf>
    <xf numFmtId="0" fontId="10" fillId="5" borderId="7" xfId="0" applyFont="1" applyFill="1" applyBorder="1" applyAlignment="1">
      <alignment horizontal="center" vertical="center" wrapText="1"/>
    </xf>
    <xf numFmtId="0" fontId="11" fillId="3" borderId="7" xfId="0" applyFont="1" applyFill="1" applyBorder="1" applyAlignment="1">
      <alignment vertical="center" wrapText="1"/>
    </xf>
    <xf numFmtId="0" fontId="11" fillId="3" borderId="7" xfId="0" applyFont="1" applyFill="1" applyBorder="1" applyAlignment="1">
      <alignment horizontal="left" vertical="center" wrapText="1"/>
    </xf>
    <xf numFmtId="0" fontId="11" fillId="6" borderId="7" xfId="0" applyFont="1" applyFill="1" applyBorder="1" applyAlignment="1">
      <alignment vertical="center" wrapText="1"/>
    </xf>
    <xf numFmtId="0" fontId="11" fillId="3" borderId="7" xfId="0" applyFont="1" applyFill="1" applyBorder="1" applyAlignment="1">
      <alignment horizontal="left" vertical="center" wrapText="1"/>
    </xf>
    <xf numFmtId="0" fontId="8" fillId="0" borderId="0" xfId="0" applyFont="1" applyAlignment="1"/>
    <xf numFmtId="0" fontId="11" fillId="3" borderId="13" xfId="0" applyFont="1" applyFill="1" applyBorder="1" applyAlignment="1">
      <alignment horizontal="left" vertical="center" wrapText="1"/>
    </xf>
    <xf numFmtId="0" fontId="8" fillId="0" borderId="0" xfId="0" applyFont="1" applyAlignment="1">
      <alignment vertical="center"/>
    </xf>
    <xf numFmtId="0" fontId="11" fillId="6" borderId="13" xfId="0" applyFont="1" applyFill="1" applyBorder="1" applyAlignment="1">
      <alignment vertical="center" wrapText="1"/>
    </xf>
    <xf numFmtId="0" fontId="11" fillId="3" borderId="13" xfId="0" applyFont="1" applyFill="1" applyBorder="1" applyAlignment="1">
      <alignment horizontal="left" vertical="center" wrapText="1"/>
    </xf>
    <xf numFmtId="0" fontId="8" fillId="0" borderId="0" xfId="0" applyFont="1" applyAlignment="1">
      <alignment vertical="top"/>
    </xf>
    <xf numFmtId="0" fontId="13" fillId="0" borderId="0" xfId="0" applyFont="1" applyAlignment="1">
      <alignment horizontal="left" vertical="top"/>
    </xf>
    <xf numFmtId="0" fontId="13" fillId="0" borderId="0" xfId="0" applyFont="1" applyAlignment="1">
      <alignment horizontal="left"/>
    </xf>
    <xf numFmtId="0" fontId="14" fillId="8" borderId="12" xfId="0" applyFont="1" applyFill="1" applyBorder="1" applyAlignment="1">
      <alignment horizontal="center" vertical="center"/>
    </xf>
    <xf numFmtId="0" fontId="14" fillId="8" borderId="14" xfId="0" applyFont="1" applyFill="1" applyBorder="1" applyAlignment="1">
      <alignment horizontal="center" vertical="center"/>
    </xf>
    <xf numFmtId="0" fontId="14" fillId="8" borderId="15" xfId="0" applyFont="1" applyFill="1" applyBorder="1" applyAlignment="1">
      <alignment horizontal="center" vertical="center"/>
    </xf>
    <xf numFmtId="0" fontId="8" fillId="0" borderId="3" xfId="0" applyFont="1" applyBorder="1" applyAlignment="1">
      <alignment horizontal="center" vertical="center"/>
    </xf>
    <xf numFmtId="0" fontId="8" fillId="0" borderId="7" xfId="0" applyFont="1" applyBorder="1" applyAlignment="1">
      <alignment vertical="center" wrapText="1"/>
    </xf>
    <xf numFmtId="0" fontId="8" fillId="0" borderId="7" xfId="0" applyFont="1" applyBorder="1" applyAlignment="1">
      <alignment horizontal="center" vertical="center"/>
    </xf>
    <xf numFmtId="0" fontId="8" fillId="0" borderId="1"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vertical="center" wrapText="1"/>
    </xf>
    <xf numFmtId="0" fontId="8" fillId="0" borderId="4" xfId="0" applyFont="1" applyBorder="1" applyAlignment="1">
      <alignment horizontal="center" vertical="center"/>
    </xf>
    <xf numFmtId="0" fontId="13" fillId="0" borderId="0" xfId="0" applyFont="1" applyAlignment="1">
      <alignment horizontal="left" vertical="center"/>
    </xf>
    <xf numFmtId="0" fontId="8" fillId="0" borderId="0" xfId="0" applyFont="1"/>
    <xf numFmtId="9" fontId="8" fillId="0" borderId="0" xfId="0" applyNumberFormat="1" applyFont="1"/>
    <xf numFmtId="0" fontId="13" fillId="0" borderId="10" xfId="0" applyFont="1" applyBorder="1" applyAlignment="1">
      <alignment horizontal="center" vertical="center"/>
    </xf>
    <xf numFmtId="0" fontId="13" fillId="0" borderId="8" xfId="0" applyFont="1" applyBorder="1" applyAlignment="1">
      <alignment horizontal="center" vertical="center"/>
    </xf>
    <xf numFmtId="0" fontId="10" fillId="0" borderId="8" xfId="0" applyFont="1" applyBorder="1" applyAlignment="1">
      <alignment horizontal="center" vertical="center"/>
    </xf>
    <xf numFmtId="0" fontId="10" fillId="0" borderId="9" xfId="0" applyFont="1" applyBorder="1" applyAlignment="1">
      <alignment horizontal="center" vertical="center"/>
    </xf>
    <xf numFmtId="0" fontId="8" fillId="0" borderId="5" xfId="0" applyFont="1" applyBorder="1" applyAlignment="1">
      <alignment horizontal="center" vertical="center"/>
    </xf>
    <xf numFmtId="0" fontId="8" fillId="0" borderId="1" xfId="0" applyFont="1" applyBorder="1" applyAlignment="1">
      <alignment horizontal="center" vertical="center"/>
    </xf>
    <xf numFmtId="0" fontId="8" fillId="0" borderId="0" xfId="0" applyFont="1" applyAlignment="1"/>
    <xf numFmtId="0" fontId="17" fillId="9" borderId="7" xfId="0" applyFont="1" applyFill="1" applyBorder="1" applyAlignment="1">
      <alignment horizontal="center" vertical="center"/>
    </xf>
    <xf numFmtId="0" fontId="8" fillId="0" borderId="7" xfId="0" applyFont="1" applyBorder="1" applyAlignment="1">
      <alignment vertical="center" wrapText="1"/>
    </xf>
    <xf numFmtId="0" fontId="8" fillId="0" borderId="7" xfId="0" applyFont="1" applyBorder="1" applyAlignment="1">
      <alignment horizontal="left" vertical="center" wrapText="1"/>
    </xf>
    <xf numFmtId="0" fontId="8" fillId="0" borderId="7" xfId="0" applyFont="1" applyBorder="1" applyAlignment="1">
      <alignment horizontal="left" vertical="center" wrapText="1"/>
    </xf>
    <xf numFmtId="0" fontId="8" fillId="0" borderId="7" xfId="0" applyFont="1" applyBorder="1" applyAlignment="1">
      <alignment horizontal="left" vertical="center"/>
    </xf>
    <xf numFmtId="0" fontId="12" fillId="0" borderId="7" xfId="0" applyFont="1" applyBorder="1" applyAlignment="1">
      <alignment horizontal="left" vertical="center" wrapText="1"/>
    </xf>
    <xf numFmtId="0" fontId="8" fillId="0" borderId="7" xfId="0" applyFont="1" applyBorder="1" applyAlignment="1">
      <alignment horizontal="center" vertical="center"/>
    </xf>
    <xf numFmtId="0" fontId="8" fillId="0" borderId="4" xfId="0" applyFont="1" applyBorder="1" applyAlignment="1">
      <alignment horizontal="center" vertical="center"/>
    </xf>
    <xf numFmtId="0" fontId="18" fillId="9" borderId="7" xfId="0" applyFont="1" applyFill="1" applyBorder="1" applyAlignment="1">
      <alignment horizontal="center"/>
    </xf>
    <xf numFmtId="0" fontId="19" fillId="0" borderId="7" xfId="0" applyFont="1" applyBorder="1" applyAlignment="1">
      <alignment horizontal="left" vertical="top" wrapText="1"/>
    </xf>
    <xf numFmtId="0" fontId="8" fillId="0" borderId="7" xfId="0" applyFont="1" applyBorder="1" applyAlignment="1">
      <alignment horizontal="center" vertical="top" wrapText="1"/>
    </xf>
    <xf numFmtId="0" fontId="8" fillId="0" borderId="7" xfId="0" applyFont="1" applyBorder="1" applyAlignment="1">
      <alignment vertical="top" wrapText="1"/>
    </xf>
    <xf numFmtId="0" fontId="8" fillId="0" borderId="7" xfId="0" applyFont="1" applyBorder="1" applyAlignment="1">
      <alignment vertical="top" wrapText="1"/>
    </xf>
    <xf numFmtId="0" fontId="8" fillId="0" borderId="7" xfId="0" applyFont="1" applyBorder="1" applyAlignment="1">
      <alignment horizontal="center" vertical="top" wrapText="1"/>
    </xf>
    <xf numFmtId="0" fontId="8" fillId="0" borderId="7" xfId="0" applyFont="1" applyBorder="1" applyAlignment="1">
      <alignment wrapText="1"/>
    </xf>
    <xf numFmtId="0" fontId="8" fillId="0" borderId="7" xfId="0" applyFont="1" applyBorder="1" applyAlignment="1">
      <alignment wrapText="1"/>
    </xf>
    <xf numFmtId="0" fontId="12" fillId="0" borderId="4" xfId="0" applyFont="1" applyBorder="1" applyAlignment="1">
      <alignment horizontal="center" vertical="top" wrapText="1"/>
    </xf>
    <xf numFmtId="0" fontId="12" fillId="0" borderId="7" xfId="0" applyFont="1" applyBorder="1" applyAlignment="1">
      <alignment horizontal="center" vertical="top" wrapText="1"/>
    </xf>
    <xf numFmtId="0" fontId="12" fillId="0" borderId="4" xfId="0" applyFont="1" applyBorder="1" applyAlignment="1">
      <alignment wrapText="1"/>
    </xf>
    <xf numFmtId="0" fontId="12" fillId="0" borderId="7" xfId="0" applyFont="1" applyBorder="1" applyAlignment="1">
      <alignment vertical="top" wrapText="1"/>
    </xf>
    <xf numFmtId="0" fontId="12" fillId="0" borderId="0" xfId="0" applyFont="1" applyAlignment="1">
      <alignment vertical="top" wrapText="1"/>
    </xf>
    <xf numFmtId="0" fontId="19" fillId="0" borderId="7" xfId="0" applyFont="1" applyBorder="1" applyAlignment="1"/>
    <xf numFmtId="0" fontId="12" fillId="0" borderId="0" xfId="0" applyFont="1" applyAlignment="1">
      <alignment wrapText="1"/>
    </xf>
    <xf numFmtId="0" fontId="12" fillId="0" borderId="7" xfId="0" applyFont="1" applyBorder="1" applyAlignment="1">
      <alignment wrapText="1"/>
    </xf>
    <xf numFmtId="0" fontId="7" fillId="2" borderId="4" xfId="0" applyFont="1" applyFill="1" applyBorder="1" applyAlignment="1">
      <alignment horizontal="center" vertical="center" wrapText="1"/>
    </xf>
    <xf numFmtId="0" fontId="5" fillId="0" borderId="8" xfId="0" applyFont="1" applyBorder="1"/>
    <xf numFmtId="0" fontId="6" fillId="2" borderId="4" xfId="0" applyFont="1" applyFill="1" applyBorder="1" applyAlignment="1">
      <alignment horizontal="center" vertical="center" wrapText="1"/>
    </xf>
    <xf numFmtId="0" fontId="2" fillId="0" borderId="0" xfId="0" applyFont="1" applyAlignment="1">
      <alignment horizontal="center" vertical="center" wrapText="1"/>
    </xf>
    <xf numFmtId="0" fontId="0" fillId="0" borderId="0" xfId="0" applyFont="1" applyAlignment="1"/>
    <xf numFmtId="0" fontId="3" fillId="0" borderId="0" xfId="0" applyFont="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xf numFmtId="0" fontId="5" fillId="0" borderId="3" xfId="0" applyFont="1" applyBorder="1"/>
    <xf numFmtId="0" fontId="6" fillId="2" borderId="5" xfId="0" applyFont="1" applyFill="1" applyBorder="1" applyAlignment="1">
      <alignment horizontal="center" vertical="center" wrapText="1"/>
    </xf>
    <xf numFmtId="0" fontId="5" fillId="0" borderId="6" xfId="0" applyFont="1" applyBorder="1"/>
    <xf numFmtId="0" fontId="5" fillId="0" borderId="9" xfId="0" applyFont="1" applyBorder="1"/>
    <xf numFmtId="0" fontId="5" fillId="0" borderId="10" xfId="0" applyFont="1" applyBorder="1"/>
    <xf numFmtId="0" fontId="9" fillId="3" borderId="1" xfId="0" applyFont="1" applyFill="1" applyBorder="1" applyAlignment="1">
      <alignment horizontal="center" vertical="center" wrapText="1"/>
    </xf>
    <xf numFmtId="0" fontId="13" fillId="0" borderId="0" xfId="0" applyFont="1" applyAlignment="1">
      <alignment horizontal="left" vertical="center"/>
    </xf>
    <xf numFmtId="0" fontId="16" fillId="0" borderId="0" xfId="0" applyFont="1" applyAlignment="1">
      <alignment horizontal="center" vertical="center"/>
    </xf>
    <xf numFmtId="0" fontId="13" fillId="0" borderId="0" xfId="0" applyFont="1" applyAlignment="1">
      <alignment horizontal="center"/>
    </xf>
    <xf numFmtId="0" fontId="14" fillId="0" borderId="0" xfId="0" applyFont="1" applyAlignment="1">
      <alignment vertical="top" wrapText="1"/>
    </xf>
    <xf numFmtId="15" fontId="14" fillId="0" borderId="0" xfId="0" applyNumberFormat="1" applyFont="1" applyAlignment="1">
      <alignment horizontal="left" wrapText="1"/>
    </xf>
    <xf numFmtId="0" fontId="14" fillId="0" borderId="0" xfId="0" applyFont="1" applyAlignment="1">
      <alignment horizontal="left" wrapText="1"/>
    </xf>
    <xf numFmtId="0" fontId="16" fillId="0" borderId="16" xfId="0" applyFont="1" applyBorder="1" applyAlignment="1">
      <alignment horizontal="center" vertical="center"/>
    </xf>
    <xf numFmtId="0" fontId="5" fillId="0" borderId="16" xfId="0" applyFont="1" applyBorder="1"/>
    <xf numFmtId="0" fontId="15" fillId="7" borderId="0" xfId="0" applyFont="1" applyFill="1" applyAlignment="1">
      <alignment horizontal="left" vertical="center" wrapText="1"/>
    </xf>
    <xf numFmtId="0" fontId="14" fillId="0" borderId="0" xfId="0" applyFont="1" applyAlignment="1">
      <alignment wrapText="1"/>
    </xf>
  </cellXfs>
  <cellStyles count="1">
    <cellStyle name="Normal" xfId="0" builtinId="0"/>
  </cellStyles>
  <dxfs count="59">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color rgb="FF006100"/>
      </font>
      <fill>
        <patternFill patternType="solid">
          <fgColor rgb="FFC6EFCE"/>
          <bgColor rgb="FFC6EFCE"/>
        </patternFill>
      </fill>
    </dxf>
    <dxf>
      <font>
        <b/>
        <color rgb="FF006100"/>
      </font>
      <fill>
        <patternFill patternType="solid">
          <fgColor rgb="FFC6EFCE"/>
          <bgColor rgb="FFC6EFCE"/>
        </patternFill>
      </fill>
    </dxf>
    <dxf>
      <font>
        <b/>
        <color rgb="FF9C0006"/>
      </font>
      <fill>
        <patternFill patternType="solid">
          <fgColor rgb="FFFFC7CE"/>
          <bgColor rgb="FFFFC7CE"/>
        </patternFill>
      </fill>
    </dxf>
    <dxf>
      <font>
        <b/>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b/>
        <color rgb="FF9C0006"/>
      </font>
      <fill>
        <patternFill patternType="solid">
          <fgColor rgb="FFFFC7CE"/>
          <bgColor rgb="FFFFC7CE"/>
        </patternFill>
      </fill>
    </dxf>
    <dxf>
      <border>
        <left style="thin">
          <color theme="9"/>
        </left>
        <right style="thin">
          <color theme="9"/>
        </right>
        <top style="thin">
          <color theme="9"/>
        </top>
        <bottom style="thin">
          <color theme="9"/>
        </bottom>
      </border>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border>
        <left style="thin">
          <color theme="6"/>
        </left>
        <right style="thin">
          <color theme="6"/>
        </right>
        <top style="thin">
          <color theme="6"/>
        </top>
        <bottom style="thin">
          <color theme="6"/>
        </bottom>
      </border>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border>
        <left style="thin">
          <color theme="0"/>
        </left>
        <right style="thin">
          <color theme="0"/>
        </right>
        <top style="thin">
          <color theme="0"/>
        </top>
        <bottom style="thin">
          <color theme="0"/>
        </bottom>
      </border>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border>
        <left style="thin">
          <color theme="9"/>
        </left>
        <right style="thin">
          <color theme="9"/>
        </right>
        <top style="thin">
          <color theme="9"/>
        </top>
        <bottom style="thin">
          <color theme="9"/>
        </bottom>
      </border>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border>
        <left style="thin">
          <color theme="9"/>
        </left>
        <right style="thin">
          <color theme="9"/>
        </right>
        <top style="thin">
          <color theme="9"/>
        </top>
        <bottom style="thin">
          <color theme="9"/>
        </bottom>
      </border>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border>
        <left style="thin">
          <color theme="9"/>
        </left>
        <right style="thin">
          <color theme="9"/>
        </right>
        <top style="thin">
          <color theme="9"/>
        </top>
        <bottom style="thin">
          <color theme="9"/>
        </bottom>
      </border>
    </dxf>
    <dxf>
      <fill>
        <patternFill patternType="solid">
          <fgColor rgb="FFB8CCE4"/>
          <bgColor rgb="FFB8CCE4"/>
        </patternFill>
      </fill>
    </dxf>
    <dxf>
      <fill>
        <patternFill patternType="solid">
          <fgColor rgb="FFFDE9D9"/>
          <bgColor rgb="FFFDE9D9"/>
        </patternFill>
      </fill>
    </dxf>
    <dxf>
      <fill>
        <patternFill patternType="solid">
          <fgColor theme="9"/>
          <bgColor theme="9"/>
        </patternFill>
      </fill>
    </dxf>
    <dxf>
      <border>
        <left style="thin">
          <color theme="6"/>
        </left>
        <right style="thin">
          <color theme="6"/>
        </right>
        <top style="thin">
          <color theme="6"/>
        </top>
        <bottom style="thin">
          <color theme="6"/>
        </bottom>
      </border>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border>
        <left style="thin">
          <color theme="6"/>
        </left>
        <right style="thin">
          <color theme="6"/>
        </right>
        <top style="thin">
          <color theme="6"/>
        </top>
        <bottom style="thin">
          <color theme="6"/>
        </bottom>
      </border>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border>
        <left style="thin">
          <color theme="6"/>
        </left>
        <right style="thin">
          <color theme="6"/>
        </right>
        <top style="thin">
          <color theme="6"/>
        </top>
        <bottom style="thin">
          <color theme="6"/>
        </bottom>
      </border>
    </dxf>
    <dxf>
      <fill>
        <patternFill patternType="solid">
          <fgColor rgb="FFB8CCE4"/>
          <bgColor rgb="FFB8CCE4"/>
        </patternFill>
      </fill>
    </dxf>
    <dxf>
      <fill>
        <patternFill patternType="solid">
          <fgColor rgb="FFEAF1DD"/>
          <bgColor rgb="FFEAF1DD"/>
        </patternFill>
      </fill>
    </dxf>
    <dxf>
      <fill>
        <patternFill patternType="solid">
          <fgColor theme="6"/>
          <bgColor theme="6"/>
        </patternFill>
      </fill>
    </dxf>
    <dxf>
      <border>
        <left style="thin">
          <color theme="0"/>
        </left>
        <right style="thin">
          <color theme="0"/>
        </right>
        <top style="thin">
          <color theme="0"/>
        </top>
        <bottom style="thin">
          <color theme="0"/>
        </bottom>
      </border>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
      <border>
        <left style="thin">
          <color theme="0"/>
        </left>
        <right style="thin">
          <color theme="0"/>
        </right>
        <top style="thin">
          <color theme="0"/>
        </top>
        <bottom style="thin">
          <color theme="0"/>
        </bottom>
      </border>
    </dxf>
    <dxf>
      <fill>
        <patternFill patternType="solid">
          <fgColor rgb="FFB8CCE4"/>
          <bgColor rgb="FFB8CCE4"/>
        </patternFill>
      </fill>
    </dxf>
    <dxf>
      <fill>
        <patternFill patternType="solid">
          <fgColor rgb="FFD8D8D8"/>
          <bgColor rgb="FFD8D8D8"/>
        </patternFill>
      </fill>
    </dxf>
    <dxf>
      <fill>
        <patternFill patternType="solid">
          <fgColor theme="0"/>
          <bgColor theme="0"/>
        </patternFill>
      </fill>
    </dxf>
  </dxfs>
  <tableStyles count="12">
    <tableStyle name="LISTA COMPROBACION RF-4-style" pivot="0" count="4" xr9:uid="{00000000-0011-0000-FFFF-FFFF00000000}">
      <tableStyleElement type="wholeTable" size="0" dxfId="55"/>
      <tableStyleElement type="headerRow" dxfId="58"/>
      <tableStyleElement type="firstRowStripe" dxfId="57"/>
      <tableStyleElement type="secondRowStripe" dxfId="56"/>
    </tableStyle>
    <tableStyle name="LISTA COMPROBACION RF-1-style" pivot="0" count="4" xr9:uid="{00000000-0011-0000-FFFF-FFFF01000000}">
      <tableStyleElement type="wholeTable" size="0" dxfId="51"/>
      <tableStyleElement type="headerRow" dxfId="54"/>
      <tableStyleElement type="firstRowStripe" dxfId="53"/>
      <tableStyleElement type="secondRowStripe" dxfId="52"/>
    </tableStyle>
    <tableStyle name="LISTA COMPROBACION RF-2-style" pivot="0" count="4" xr9:uid="{00000000-0011-0000-FFFF-FFFF02000000}">
      <tableStyleElement type="wholeTable" size="0" dxfId="47"/>
      <tableStyleElement type="headerRow" dxfId="50"/>
      <tableStyleElement type="firstRowStripe" dxfId="49"/>
      <tableStyleElement type="secondRowStripe" dxfId="48"/>
    </tableStyle>
    <tableStyle name="LISTA COMPROBACION RF-4-style 2" pivot="0" count="4" xr9:uid="{00000000-0011-0000-FFFF-FFFF03000000}">
      <tableStyleElement type="wholeTable" size="0" dxfId="43"/>
      <tableStyleElement type="headerRow" dxfId="46"/>
      <tableStyleElement type="firstRowStripe" dxfId="45"/>
      <tableStyleElement type="secondRowStripe" dxfId="44"/>
    </tableStyle>
    <tableStyle name="LISTA COMPROBACION RF-2-style 2" pivot="0" count="4" xr9:uid="{00000000-0011-0000-FFFF-FFFF04000000}">
      <tableStyleElement type="wholeTable" size="0" dxfId="39"/>
      <tableStyleElement type="headerRow" dxfId="42"/>
      <tableStyleElement type="firstRowStripe" dxfId="41"/>
      <tableStyleElement type="secondRowStripe" dxfId="40"/>
    </tableStyle>
    <tableStyle name="LISTA COMPROBACION RF-1-style 2" pivot="0" count="4" xr9:uid="{00000000-0011-0000-FFFF-FFFF05000000}">
      <tableStyleElement type="wholeTable" size="0" dxfId="35"/>
      <tableStyleElement type="headerRow" dxfId="38"/>
      <tableStyleElement type="firstRowStripe" dxfId="37"/>
      <tableStyleElement type="secondRowStripe" dxfId="36"/>
    </tableStyle>
    <tableStyle name="LISTA COMPROBACION RF-4-style 3" pivot="0" count="4" xr9:uid="{00000000-0011-0000-FFFF-FFFF06000000}">
      <tableStyleElement type="wholeTable" size="0" dxfId="31"/>
      <tableStyleElement type="headerRow" dxfId="34"/>
      <tableStyleElement type="firstRowStripe" dxfId="33"/>
      <tableStyleElement type="secondRowStripe" dxfId="32"/>
    </tableStyle>
    <tableStyle name="LISTA COMPROBACION RF-1-style 3" pivot="0" count="4" xr9:uid="{00000000-0011-0000-FFFF-FFFF07000000}">
      <tableStyleElement type="wholeTable" size="0" dxfId="27"/>
      <tableStyleElement type="headerRow" dxfId="30"/>
      <tableStyleElement type="firstRowStripe" dxfId="29"/>
      <tableStyleElement type="secondRowStripe" dxfId="28"/>
    </tableStyle>
    <tableStyle name="LISTA COMPROBACION RF-2-style 3" pivot="0" count="4" xr9:uid="{00000000-0011-0000-FFFF-FFFF08000000}">
      <tableStyleElement type="wholeTable" size="0" dxfId="23"/>
      <tableStyleElement type="headerRow" dxfId="26"/>
      <tableStyleElement type="firstRowStripe" dxfId="25"/>
      <tableStyleElement type="secondRowStripe" dxfId="24"/>
    </tableStyle>
    <tableStyle name="LISTA COMPROBACION RF-8-style" pivot="0" count="4" xr9:uid="{00000000-0011-0000-FFFF-FFFF09000000}">
      <tableStyleElement type="wholeTable" size="0" dxfId="19"/>
      <tableStyleElement type="headerRow" dxfId="22"/>
      <tableStyleElement type="firstRowStripe" dxfId="21"/>
      <tableStyleElement type="secondRowStripe" dxfId="20"/>
    </tableStyle>
    <tableStyle name="LISTA COMPROBACION RF-8-style 2" pivot="0" count="4" xr9:uid="{00000000-0011-0000-FFFF-FFFF0A000000}">
      <tableStyleElement type="wholeTable" size="0" dxfId="15"/>
      <tableStyleElement type="headerRow" dxfId="18"/>
      <tableStyleElement type="firstRowStripe" dxfId="17"/>
      <tableStyleElement type="secondRowStripe" dxfId="16"/>
    </tableStyle>
    <tableStyle name="LISTA COMPROBACION RF-8-style 3" pivot="0" count="4" xr9:uid="{00000000-0011-0000-FFFF-FFFF0B000000}">
      <tableStyleElement type="wholeTable" size="0" dxfId="11"/>
      <tableStyleElement type="headerRow" dxfId="14"/>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2"/></Relationships>
</file>

<file path=xl/_rels/comments3.xml.rels><?xml version="1.0" encoding="UTF-8" standalone="yes"?>
<Relationships xmlns="http://schemas.openxmlformats.org/package/2006/relationships"><Relationship Id="rId1" Type="http://customschemas.google.com/relationships/workbookmetadata" Target="commentsmeta3"/></Relationships>
</file>

<file path=xl/_rels/comments4.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F3CE-44CF-A9DA-8C3E6BA28406}"/>
              </c:ext>
            </c:extLst>
          </c:dPt>
          <c:dPt>
            <c:idx val="1"/>
            <c:bubble3D val="0"/>
            <c:spPr>
              <a:solidFill>
                <a:srgbClr val="C0504D"/>
              </a:solidFill>
            </c:spPr>
            <c:extLst>
              <c:ext xmlns:c16="http://schemas.microsoft.com/office/drawing/2014/chart" uri="{C3380CC4-5D6E-409C-BE32-E72D297353CC}">
                <c16:uniqueId val="{00000003-F3CE-44CF-A9DA-8C3E6BA28406}"/>
              </c:ext>
            </c:extLst>
          </c:dPt>
          <c:dPt>
            <c:idx val="2"/>
            <c:bubble3D val="0"/>
            <c:spPr>
              <a:solidFill>
                <a:srgbClr val="9BBB59"/>
              </a:solidFill>
            </c:spPr>
            <c:extLst>
              <c:ext xmlns:c16="http://schemas.microsoft.com/office/drawing/2014/chart" uri="{C3380CC4-5D6E-409C-BE32-E72D297353CC}">
                <c16:uniqueId val="{00000005-F3CE-44CF-A9DA-8C3E6BA28406}"/>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'LISTA COMPROBACION RF-1'!$B$41:$B$43</c:f>
              <c:strCache>
                <c:ptCount val="3"/>
                <c:pt idx="0">
                  <c:v>CONTENIDO </c:v>
                </c:pt>
                <c:pt idx="1">
                  <c:v>DOCUMENTACIÓN</c:v>
                </c:pt>
                <c:pt idx="2">
                  <c:v>NIVEL DE ACUERDO</c:v>
                </c:pt>
              </c:strCache>
            </c:strRef>
          </c:cat>
          <c:val>
            <c:numRef>
              <c:f>'LISTA COMPROBACION RF-1'!$C$41:$C$43</c:f>
              <c:numCache>
                <c:formatCode>General</c:formatCode>
                <c:ptCount val="3"/>
                <c:pt idx="0">
                  <c:v>89</c:v>
                </c:pt>
                <c:pt idx="1">
                  <c:v>80</c:v>
                </c:pt>
                <c:pt idx="2">
                  <c:v>100</c:v>
                </c:pt>
              </c:numCache>
            </c:numRef>
          </c:val>
          <c:extLst>
            <c:ext xmlns:c16="http://schemas.microsoft.com/office/drawing/2014/chart" uri="{C3380CC4-5D6E-409C-BE32-E72D297353CC}">
              <c16:uniqueId val="{00000006-F3CE-44CF-A9DA-8C3E6BA28406}"/>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60FA-4274-B179-59D492091332}"/>
              </c:ext>
            </c:extLst>
          </c:dPt>
          <c:dPt>
            <c:idx val="1"/>
            <c:bubble3D val="0"/>
            <c:spPr>
              <a:solidFill>
                <a:srgbClr val="C0504D"/>
              </a:solidFill>
            </c:spPr>
            <c:extLst>
              <c:ext xmlns:c16="http://schemas.microsoft.com/office/drawing/2014/chart" uri="{C3380CC4-5D6E-409C-BE32-E72D297353CC}">
                <c16:uniqueId val="{00000003-60FA-4274-B179-59D492091332}"/>
              </c:ext>
            </c:extLst>
          </c:dPt>
          <c:dPt>
            <c:idx val="2"/>
            <c:bubble3D val="0"/>
            <c:spPr>
              <a:solidFill>
                <a:srgbClr val="9BBB59"/>
              </a:solidFill>
            </c:spPr>
            <c:extLst>
              <c:ext xmlns:c16="http://schemas.microsoft.com/office/drawing/2014/chart" uri="{C3380CC4-5D6E-409C-BE32-E72D297353CC}">
                <c16:uniqueId val="{00000005-60FA-4274-B179-59D492091332}"/>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'LISTA COMPROBACION RF-2'!$B$41:$B$43</c:f>
              <c:strCache>
                <c:ptCount val="3"/>
                <c:pt idx="0">
                  <c:v>CONTENIDO </c:v>
                </c:pt>
                <c:pt idx="1">
                  <c:v>DOCUMENTACIÓN</c:v>
                </c:pt>
                <c:pt idx="2">
                  <c:v>NIVEL DE ACUERDO</c:v>
                </c:pt>
              </c:strCache>
            </c:strRef>
          </c:cat>
          <c:val>
            <c:numRef>
              <c:f>'LISTA COMPROBACION RF-2'!$C$41:$C$43</c:f>
              <c:numCache>
                <c:formatCode>General</c:formatCode>
                <c:ptCount val="3"/>
                <c:pt idx="0">
                  <c:v>78</c:v>
                </c:pt>
                <c:pt idx="1">
                  <c:v>100</c:v>
                </c:pt>
                <c:pt idx="2">
                  <c:v>33</c:v>
                </c:pt>
              </c:numCache>
            </c:numRef>
          </c:val>
          <c:extLst>
            <c:ext xmlns:c16="http://schemas.microsoft.com/office/drawing/2014/chart" uri="{C3380CC4-5D6E-409C-BE32-E72D297353CC}">
              <c16:uniqueId val="{00000006-60FA-4274-B179-59D492091332}"/>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305C-43EE-8290-2F7D7D41A60B}"/>
              </c:ext>
            </c:extLst>
          </c:dPt>
          <c:dPt>
            <c:idx val="1"/>
            <c:bubble3D val="0"/>
            <c:spPr>
              <a:solidFill>
                <a:srgbClr val="C0504D"/>
              </a:solidFill>
            </c:spPr>
            <c:extLst>
              <c:ext xmlns:c16="http://schemas.microsoft.com/office/drawing/2014/chart" uri="{C3380CC4-5D6E-409C-BE32-E72D297353CC}">
                <c16:uniqueId val="{00000003-305C-43EE-8290-2F7D7D41A60B}"/>
              </c:ext>
            </c:extLst>
          </c:dPt>
          <c:dPt>
            <c:idx val="2"/>
            <c:bubble3D val="0"/>
            <c:spPr>
              <a:solidFill>
                <a:srgbClr val="9BBB59"/>
              </a:solidFill>
            </c:spPr>
            <c:extLst>
              <c:ext xmlns:c16="http://schemas.microsoft.com/office/drawing/2014/chart" uri="{C3380CC4-5D6E-409C-BE32-E72D297353CC}">
                <c16:uniqueId val="{00000005-305C-43EE-8290-2F7D7D41A60B}"/>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'LISTA COMPROBACION RF-4'!$B$41:$B$43</c:f>
              <c:strCache>
                <c:ptCount val="3"/>
                <c:pt idx="0">
                  <c:v>CONTENIDO </c:v>
                </c:pt>
                <c:pt idx="1">
                  <c:v>DOCUMENTACIÓN</c:v>
                </c:pt>
                <c:pt idx="2">
                  <c:v>NIVEL DE ACUERDO</c:v>
                </c:pt>
              </c:strCache>
            </c:strRef>
          </c:cat>
          <c:val>
            <c:numRef>
              <c:f>'LISTA COMPROBACION RF-4'!$C$41:$C$43</c:f>
              <c:numCache>
                <c:formatCode>General</c:formatCode>
                <c:ptCount val="3"/>
                <c:pt idx="0">
                  <c:v>67</c:v>
                </c:pt>
                <c:pt idx="1">
                  <c:v>80</c:v>
                </c:pt>
                <c:pt idx="2">
                  <c:v>100</c:v>
                </c:pt>
              </c:numCache>
            </c:numRef>
          </c:val>
          <c:extLst>
            <c:ext xmlns:c16="http://schemas.microsoft.com/office/drawing/2014/chart" uri="{C3380CC4-5D6E-409C-BE32-E72D297353CC}">
              <c16:uniqueId val="{00000006-305C-43EE-8290-2F7D7D41A60B}"/>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lvl="0">
              <a:defRPr b="1" i="0">
                <a:solidFill>
                  <a:srgbClr val="757575"/>
                </a:solidFill>
                <a:latin typeface="+mn-lt"/>
              </a:defRPr>
            </a:pPr>
            <a:r>
              <a:rPr lang="es-ES" b="1" i="0">
                <a:solidFill>
                  <a:srgbClr val="757575"/>
                </a:solidFill>
                <a:latin typeface="+mn-lt"/>
              </a:rPr>
              <a:t>CRITERIO DE CALIDAD </a:t>
            </a:r>
          </a:p>
        </c:rich>
      </c:tx>
      <c:layout>
        <c:manualLayout>
          <c:xMode val="edge"/>
          <c:yMode val="edge"/>
          <c:x val="0.30949300087489068"/>
          <c:y val="6.0185185185185182E-2"/>
        </c:manualLayout>
      </c:layout>
      <c:overlay val="0"/>
    </c:title>
    <c:autoTitleDeleted val="0"/>
    <c:view3D>
      <c:rotX val="50"/>
      <c:rotY val="0"/>
      <c:rAngAx val="1"/>
    </c:view3D>
    <c:floor>
      <c:thickness val="0"/>
    </c:floor>
    <c:sideWall>
      <c:thickness val="0"/>
    </c:sideWall>
    <c:backWall>
      <c:thickness val="0"/>
    </c:backWall>
    <c:plotArea>
      <c:layout/>
      <c:pie3DChart>
        <c:varyColors val="1"/>
        <c:ser>
          <c:idx val="0"/>
          <c:order val="0"/>
          <c:dPt>
            <c:idx val="0"/>
            <c:bubble3D val="0"/>
            <c:spPr>
              <a:solidFill>
                <a:srgbClr val="4F81BD"/>
              </a:solidFill>
            </c:spPr>
            <c:extLst>
              <c:ext xmlns:c16="http://schemas.microsoft.com/office/drawing/2014/chart" uri="{C3380CC4-5D6E-409C-BE32-E72D297353CC}">
                <c16:uniqueId val="{00000001-1ECA-48F7-BD1D-53E9F4365816}"/>
              </c:ext>
            </c:extLst>
          </c:dPt>
          <c:dPt>
            <c:idx val="1"/>
            <c:bubble3D val="0"/>
            <c:spPr>
              <a:solidFill>
                <a:srgbClr val="C0504D"/>
              </a:solidFill>
            </c:spPr>
            <c:extLst>
              <c:ext xmlns:c16="http://schemas.microsoft.com/office/drawing/2014/chart" uri="{C3380CC4-5D6E-409C-BE32-E72D297353CC}">
                <c16:uniqueId val="{00000003-1ECA-48F7-BD1D-53E9F4365816}"/>
              </c:ext>
            </c:extLst>
          </c:dPt>
          <c:dPt>
            <c:idx val="2"/>
            <c:bubble3D val="0"/>
            <c:spPr>
              <a:solidFill>
                <a:srgbClr val="9BBB59"/>
              </a:solidFill>
            </c:spPr>
            <c:extLst>
              <c:ext xmlns:c16="http://schemas.microsoft.com/office/drawing/2014/chart" uri="{C3380CC4-5D6E-409C-BE32-E72D297353CC}">
                <c16:uniqueId val="{00000005-1ECA-48F7-BD1D-53E9F4365816}"/>
              </c:ext>
            </c:extLst>
          </c:dPt>
          <c:dLbls>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'LISTA COMPROBACION RF-8'!$B$41:$B$43</c:f>
              <c:strCache>
                <c:ptCount val="3"/>
                <c:pt idx="0">
                  <c:v>CONTENIDO </c:v>
                </c:pt>
                <c:pt idx="1">
                  <c:v>DOCUMENTACIÓN</c:v>
                </c:pt>
                <c:pt idx="2">
                  <c:v>NIVEL DE ACUERDO</c:v>
                </c:pt>
              </c:strCache>
            </c:strRef>
          </c:cat>
          <c:val>
            <c:numRef>
              <c:f>'LISTA COMPROBACION RF-8'!$C$41:$C$43</c:f>
              <c:numCache>
                <c:formatCode>General</c:formatCode>
                <c:ptCount val="3"/>
                <c:pt idx="0">
                  <c:v>89</c:v>
                </c:pt>
                <c:pt idx="1">
                  <c:v>100</c:v>
                </c:pt>
                <c:pt idx="2">
                  <c:v>100</c:v>
                </c:pt>
              </c:numCache>
            </c:numRef>
          </c:val>
          <c:extLst>
            <c:ext xmlns:c16="http://schemas.microsoft.com/office/drawing/2014/chart" uri="{C3380CC4-5D6E-409C-BE32-E72D297353CC}">
              <c16:uniqueId val="{00000006-1ECA-48F7-BD1D-53E9F4365816}"/>
            </c:ext>
          </c:extLst>
        </c:ser>
        <c:dLbls>
          <c:showLegendKey val="0"/>
          <c:showVal val="0"/>
          <c:showCatName val="0"/>
          <c:showSerName val="0"/>
          <c:showPercent val="0"/>
          <c:showBubbleSize val="0"/>
          <c:showLeaderLines val="1"/>
        </c:dLbls>
      </c:pie3DChart>
    </c:plotArea>
    <c:legend>
      <c:legendPos val="r"/>
      <c:overlay val="0"/>
      <c:txPr>
        <a:bodyPr/>
        <a:lstStyle/>
        <a:p>
          <a:pPr lvl="0">
            <a:defRPr b="0" i="0">
              <a:solidFill>
                <a:srgbClr val="1A1A1A"/>
              </a:solidFill>
              <a:latin typeface="+mn-lt"/>
            </a:defRPr>
          </a:pPr>
          <a:endParaRPr lang="es-E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1300378560" name="Chart 2">
          <a:extLst>
            <a:ext uri="{FF2B5EF4-FFF2-40B4-BE49-F238E27FC236}">
              <a16:creationId xmlns:a16="http://schemas.microsoft.com/office/drawing/2014/main" id="{00000000-0008-0000-0100-0000C0338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491265506" name="Chart 1">
          <a:extLst>
            <a:ext uri="{FF2B5EF4-FFF2-40B4-BE49-F238E27FC236}">
              <a16:creationId xmlns:a16="http://schemas.microsoft.com/office/drawing/2014/main" id="{00000000-0008-0000-0200-0000E21D4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1575979680" name="Chart 3">
          <a:extLst>
            <a:ext uri="{FF2B5EF4-FFF2-40B4-BE49-F238E27FC236}">
              <a16:creationId xmlns:a16="http://schemas.microsoft.com/office/drawing/2014/main" id="{00000000-0008-0000-0300-0000A08AE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247650</xdr:colOff>
      <xdr:row>33</xdr:row>
      <xdr:rowOff>485775</xdr:rowOff>
    </xdr:from>
    <xdr:ext cx="4286250" cy="2143125"/>
    <xdr:graphicFrame macro="">
      <xdr:nvGraphicFramePr>
        <xdr:cNvPr id="1755499782" name="Chart 4">
          <a:extLst>
            <a:ext uri="{FF2B5EF4-FFF2-40B4-BE49-F238E27FC236}">
              <a16:creationId xmlns:a16="http://schemas.microsoft.com/office/drawing/2014/main" id="{00000000-0008-0000-0400-000006CDA2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1" displayName="Table_1" ref="A7:D16">
  <tableColumns count="4">
    <tableColumn id="1" xr3:uid="{00000000-0010-0000-0000-000001000000}" name="No."/>
    <tableColumn id="2" xr3:uid="{00000000-0010-0000-0000-000002000000}" name="Pregunta"/>
    <tableColumn id="3" xr3:uid="{00000000-0010-0000-0000-000003000000}" name="SI"/>
    <tableColumn id="4" xr3:uid="{00000000-0010-0000-0000-000004000000}" name="NO "/>
  </tableColumns>
  <tableStyleInfo name="LISTA COMPROBACION RF-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1000000}" name="Table_2" displayName="Table_2" ref="A21:D26">
  <tableColumns count="4">
    <tableColumn id="1" xr3:uid="{00000000-0010-0000-0100-000001000000}" name="No."/>
    <tableColumn id="2" xr3:uid="{00000000-0010-0000-0100-000002000000}" name="Pregunta"/>
    <tableColumn id="3" xr3:uid="{00000000-0010-0000-0100-000003000000}" name="SI"/>
    <tableColumn id="4" xr3:uid="{00000000-0010-0000-0100-000004000000}" name="NO "/>
  </tableColumns>
  <tableStyleInfo name="LISTA COMPROBACION RF-1-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Table_3" displayName="Table_3" ref="A31:D34">
  <tableColumns count="4">
    <tableColumn id="1" xr3:uid="{00000000-0010-0000-0200-000001000000}" name="No."/>
    <tableColumn id="2" xr3:uid="{00000000-0010-0000-0200-000002000000}" name="Pregunta"/>
    <tableColumn id="3" xr3:uid="{00000000-0010-0000-0200-000003000000}" name="SI"/>
    <tableColumn id="4" xr3:uid="{00000000-0010-0000-0200-000004000000}" name="NO "/>
  </tableColumns>
  <tableStyleInfo name="LISTA COMPROBACION RF-1-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_4" displayName="Table_4" ref="A7:D16">
  <tableColumns count="4">
    <tableColumn id="1" xr3:uid="{00000000-0010-0000-0300-000001000000}" name="No."/>
    <tableColumn id="2" xr3:uid="{00000000-0010-0000-0300-000002000000}" name="Pregunta"/>
    <tableColumn id="3" xr3:uid="{00000000-0010-0000-0300-000003000000}" name="SI"/>
    <tableColumn id="4" xr3:uid="{00000000-0010-0000-0300-000004000000}" name="NO "/>
  </tableColumns>
  <tableStyleInfo name="LISTA COMPROBACION RF-2-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5" displayName="Table_5" ref="A21:D26">
  <tableColumns count="4">
    <tableColumn id="1" xr3:uid="{00000000-0010-0000-0400-000001000000}" name="No."/>
    <tableColumn id="2" xr3:uid="{00000000-0010-0000-0400-000002000000}" name="Pregunta"/>
    <tableColumn id="3" xr3:uid="{00000000-0010-0000-0400-000003000000}" name="SI"/>
    <tableColumn id="4" xr3:uid="{00000000-0010-0000-0400-000004000000}" name="NO "/>
  </tableColumns>
  <tableStyleInfo name="LISTA COMPROBACION RF-2-style 2"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_6" displayName="Table_6" ref="A31:D34">
  <tableColumns count="4">
    <tableColumn id="1" xr3:uid="{00000000-0010-0000-0500-000001000000}" name="No."/>
    <tableColumn id="2" xr3:uid="{00000000-0010-0000-0500-000002000000}" name="Pregunta"/>
    <tableColumn id="3" xr3:uid="{00000000-0010-0000-0500-000003000000}" name="SI"/>
    <tableColumn id="4" xr3:uid="{00000000-0010-0000-0500-000004000000}" name="NO "/>
  </tableColumns>
  <tableStyleInfo name="LISTA COMPROBACION RF-2-style 3"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6000000}" name="Table_7" displayName="Table_7" ref="A7:D16">
  <tableColumns count="4">
    <tableColumn id="1" xr3:uid="{00000000-0010-0000-0600-000001000000}" name="No."/>
    <tableColumn id="2" xr3:uid="{00000000-0010-0000-0600-000002000000}" name="Pregunta"/>
    <tableColumn id="3" xr3:uid="{00000000-0010-0000-0600-000003000000}" name="SI"/>
    <tableColumn id="4" xr3:uid="{00000000-0010-0000-0600-000004000000}" name="NO "/>
  </tableColumns>
  <tableStyleInfo name="LISTA COMPROBACION RF-4-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_8" displayName="Table_8" ref="A21:D26">
  <tableColumns count="4">
    <tableColumn id="1" xr3:uid="{00000000-0010-0000-0700-000001000000}" name="No."/>
    <tableColumn id="2" xr3:uid="{00000000-0010-0000-0700-000002000000}" name="Pregunta"/>
    <tableColumn id="3" xr3:uid="{00000000-0010-0000-0700-000003000000}" name="SI"/>
    <tableColumn id="4" xr3:uid="{00000000-0010-0000-0700-000004000000}" name="NO "/>
  </tableColumns>
  <tableStyleInfo name="LISTA COMPROBACION RF-4-style 2"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8000000}" name="Table_9" displayName="Table_9" ref="A31:D34">
  <tableColumns count="4">
    <tableColumn id="1" xr3:uid="{00000000-0010-0000-0800-000001000000}" name="No."/>
    <tableColumn id="2" xr3:uid="{00000000-0010-0000-0800-000002000000}" name="Pregunta"/>
    <tableColumn id="3" xr3:uid="{00000000-0010-0000-0800-000003000000}" name="SI"/>
    <tableColumn id="4" xr3:uid="{00000000-0010-0000-0800-000004000000}" name="NO "/>
  </tableColumns>
  <tableStyleInfo name="LISTA COMPROBACION RF-4-style 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 displayName="Table" ref="A7:D16">
  <tableColumns count="4">
    <tableColumn id="1" xr3:uid="{00000000-0010-0000-0900-000001000000}" name="No."/>
    <tableColumn id="2" xr3:uid="{00000000-0010-0000-0900-000002000000}" name="Pregunta"/>
    <tableColumn id="3" xr3:uid="{00000000-0010-0000-0900-000003000000}" name="SI"/>
    <tableColumn id="4" xr3:uid="{00000000-0010-0000-0900-000004000000}" name="NO "/>
  </tableColumns>
  <tableStyleInfo name="LISTA COMPROBACION RF-8-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21:D26">
  <tableColumns count="4">
    <tableColumn id="1" xr3:uid="{00000000-0010-0000-0A00-000001000000}" name="No."/>
    <tableColumn id="2" xr3:uid="{00000000-0010-0000-0A00-000002000000}" name="Pregunta"/>
    <tableColumn id="3" xr3:uid="{00000000-0010-0000-0A00-000003000000}" name="SI"/>
    <tableColumn id="4" xr3:uid="{00000000-0010-0000-0A00-000004000000}" name="NO "/>
  </tableColumns>
  <tableStyleInfo name="LISTA COMPROBACION RF-8-style 2"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0" displayName="Table_10" ref="A31:D34">
  <tableColumns count="4">
    <tableColumn id="1" xr3:uid="{00000000-0010-0000-0B00-000001000000}" name="No."/>
    <tableColumn id="2" xr3:uid="{00000000-0010-0000-0B00-000002000000}" name="Pregunta"/>
    <tableColumn id="3" xr3:uid="{00000000-0010-0000-0B00-000003000000}" name="SI"/>
    <tableColumn id="4" xr3:uid="{00000000-0010-0000-0B00-000004000000}" name="NO "/>
  </tableColumns>
  <tableStyleInfo name="LISTA COMPROBACION RF-8-style 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6" Type="http://schemas.openxmlformats.org/officeDocument/2006/relationships/comments" Target="../comments2.xml"/><Relationship Id="rId5" Type="http://schemas.openxmlformats.org/officeDocument/2006/relationships/table" Target="../tables/table3.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3.vml"/><Relationship Id="rId1" Type="http://schemas.openxmlformats.org/officeDocument/2006/relationships/drawing" Target="../drawings/drawing2.xml"/><Relationship Id="rId6" Type="http://schemas.openxmlformats.org/officeDocument/2006/relationships/comments" Target="../comments3.xml"/><Relationship Id="rId5" Type="http://schemas.openxmlformats.org/officeDocument/2006/relationships/table" Target="../tables/table6.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4.vml"/><Relationship Id="rId1" Type="http://schemas.openxmlformats.org/officeDocument/2006/relationships/drawing" Target="../drawings/drawing3.xml"/><Relationship Id="rId6" Type="http://schemas.openxmlformats.org/officeDocument/2006/relationships/comments" Target="../comments4.xml"/><Relationship Id="rId5" Type="http://schemas.openxmlformats.org/officeDocument/2006/relationships/table" Target="../tables/table9.xml"/><Relationship Id="rId4" Type="http://schemas.openxmlformats.org/officeDocument/2006/relationships/table" Target="../tables/table8.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4.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000"/>
  <sheetViews>
    <sheetView showGridLines="0" tabSelected="1" topLeftCell="A4" zoomScale="72" workbookViewId="0">
      <selection activeCell="K10" sqref="K10"/>
    </sheetView>
  </sheetViews>
  <sheetFormatPr baseColWidth="10" defaultColWidth="14.44140625" defaultRowHeight="15" customHeight="1"/>
  <cols>
    <col min="1" max="1" width="4.5546875" customWidth="1"/>
    <col min="2" max="2" width="4.44140625" customWidth="1"/>
    <col min="3" max="3" width="3.6640625" customWidth="1"/>
    <col min="4" max="4" width="34.88671875" customWidth="1"/>
    <col min="5" max="5" width="9.6640625" customWidth="1"/>
    <col min="6" max="6" width="42.6640625" customWidth="1"/>
    <col min="7" max="7" width="10.109375" customWidth="1"/>
    <col min="8" max="8" width="4.6640625" hidden="1" customWidth="1"/>
    <col min="9" max="9" width="42.6640625" customWidth="1"/>
    <col min="10" max="10" width="9.88671875" customWidth="1"/>
    <col min="11" max="11" width="39.5546875" customWidth="1"/>
    <col min="12" max="12" width="9.88671875" customWidth="1"/>
    <col min="13" max="13" width="39.5546875" customWidth="1"/>
  </cols>
  <sheetData>
    <row r="1" spans="2:13" ht="14.25" customHeight="1">
      <c r="C1" s="1"/>
    </row>
    <row r="2" spans="2:13" ht="14.25" customHeight="1">
      <c r="C2" s="1"/>
    </row>
    <row r="3" spans="2:13" ht="30" customHeight="1">
      <c r="C3" s="73" t="s">
        <v>0</v>
      </c>
      <c r="D3" s="74"/>
      <c r="E3" s="74"/>
      <c r="F3" s="74"/>
      <c r="G3" s="74"/>
      <c r="H3" s="74"/>
      <c r="I3" s="74"/>
      <c r="J3" s="74"/>
      <c r="K3" s="74"/>
      <c r="L3" s="74"/>
      <c r="M3" s="74"/>
    </row>
    <row r="4" spans="2:13" ht="30" customHeight="1">
      <c r="C4" s="74"/>
      <c r="D4" s="74"/>
      <c r="E4" s="74"/>
      <c r="F4" s="74"/>
      <c r="G4" s="74"/>
      <c r="H4" s="74"/>
      <c r="I4" s="74"/>
      <c r="J4" s="74"/>
      <c r="K4" s="74"/>
      <c r="L4" s="74"/>
      <c r="M4" s="74"/>
    </row>
    <row r="5" spans="2:13" ht="30" customHeight="1">
      <c r="C5" s="2"/>
      <c r="D5" s="3" t="s">
        <v>1</v>
      </c>
      <c r="E5" s="75" t="s">
        <v>2</v>
      </c>
      <c r="F5" s="74"/>
      <c r="G5" s="74"/>
      <c r="H5" s="74"/>
      <c r="I5" s="74"/>
      <c r="J5" s="74"/>
      <c r="K5" s="74"/>
    </row>
    <row r="6" spans="2:13" ht="55.5" customHeight="1">
      <c r="C6" s="1"/>
      <c r="E6" s="76" t="s">
        <v>3</v>
      </c>
      <c r="F6" s="77"/>
      <c r="G6" s="77"/>
      <c r="H6" s="77"/>
      <c r="I6" s="77"/>
      <c r="J6" s="77"/>
      <c r="K6" s="77"/>
      <c r="L6" s="77"/>
      <c r="M6" s="78"/>
    </row>
    <row r="7" spans="2:13" ht="45" customHeight="1">
      <c r="B7" s="72" t="s">
        <v>4</v>
      </c>
      <c r="C7" s="79" t="s">
        <v>5</v>
      </c>
      <c r="D7" s="80"/>
      <c r="E7" s="70" t="s">
        <v>6</v>
      </c>
      <c r="F7" s="72" t="s">
        <v>7</v>
      </c>
      <c r="G7" s="70" t="s">
        <v>6</v>
      </c>
      <c r="H7" s="4">
        <v>100</v>
      </c>
      <c r="I7" s="72" t="s">
        <v>8</v>
      </c>
      <c r="J7" s="70" t="s">
        <v>6</v>
      </c>
      <c r="K7" s="72" t="s">
        <v>9</v>
      </c>
      <c r="L7" s="70" t="s">
        <v>6</v>
      </c>
      <c r="M7" s="72" t="s">
        <v>10</v>
      </c>
    </row>
    <row r="8" spans="2:13" ht="60" customHeight="1">
      <c r="B8" s="71"/>
      <c r="C8" s="81"/>
      <c r="D8" s="82"/>
      <c r="E8" s="71"/>
      <c r="F8" s="71"/>
      <c r="G8" s="71"/>
      <c r="H8" s="4">
        <v>0</v>
      </c>
      <c r="I8" s="71"/>
      <c r="J8" s="71"/>
      <c r="K8" s="71"/>
      <c r="L8" s="71"/>
      <c r="M8" s="71"/>
    </row>
    <row r="9" spans="2:13" ht="102.75" customHeight="1">
      <c r="B9" s="5">
        <v>1</v>
      </c>
      <c r="C9" s="83" t="s">
        <v>11</v>
      </c>
      <c r="D9" s="78"/>
      <c r="E9" s="6" t="s">
        <v>12</v>
      </c>
      <c r="F9" s="7" t="s">
        <v>13</v>
      </c>
      <c r="G9" s="8" t="s">
        <v>12</v>
      </c>
      <c r="H9" s="9">
        <v>1</v>
      </c>
      <c r="I9" s="10" t="s">
        <v>14</v>
      </c>
      <c r="J9" s="6" t="s">
        <v>12</v>
      </c>
      <c r="K9" s="7" t="s">
        <v>15</v>
      </c>
      <c r="L9" s="6" t="s">
        <v>12</v>
      </c>
      <c r="M9" s="7" t="s">
        <v>16</v>
      </c>
    </row>
    <row r="10" spans="2:13" ht="96.75" customHeight="1">
      <c r="B10" s="5">
        <v>2</v>
      </c>
      <c r="C10" s="83" t="s">
        <v>17</v>
      </c>
      <c r="D10" s="78"/>
      <c r="E10" s="8" t="s">
        <v>12</v>
      </c>
      <c r="F10" s="12" t="s">
        <v>127</v>
      </c>
      <c r="G10" s="8" t="s">
        <v>12</v>
      </c>
      <c r="I10" s="14" t="s">
        <v>19</v>
      </c>
      <c r="J10" s="8" t="s">
        <v>12</v>
      </c>
      <c r="K10" s="12" t="s">
        <v>128</v>
      </c>
      <c r="L10" s="6" t="s">
        <v>12</v>
      </c>
      <c r="M10" s="12" t="s">
        <v>20</v>
      </c>
    </row>
    <row r="11" spans="2:13" ht="102" customHeight="1">
      <c r="B11" s="5">
        <v>3</v>
      </c>
      <c r="C11" s="83" t="s">
        <v>21</v>
      </c>
      <c r="D11" s="78"/>
      <c r="E11" s="6" t="s">
        <v>12</v>
      </c>
      <c r="F11" s="14" t="s">
        <v>22</v>
      </c>
      <c r="G11" s="6" t="s">
        <v>12</v>
      </c>
      <c r="I11" s="14" t="s">
        <v>23</v>
      </c>
      <c r="J11" s="6" t="s">
        <v>12</v>
      </c>
      <c r="K11" s="14" t="s">
        <v>22</v>
      </c>
      <c r="L11" s="6" t="s">
        <v>12</v>
      </c>
      <c r="M11" s="12" t="s">
        <v>24</v>
      </c>
    </row>
    <row r="12" spans="2:13" ht="79.5" customHeight="1">
      <c r="B12" s="5">
        <v>4</v>
      </c>
      <c r="C12" s="83" t="s">
        <v>25</v>
      </c>
      <c r="D12" s="78"/>
      <c r="E12" s="8" t="s">
        <v>12</v>
      </c>
      <c r="F12" s="15" t="s">
        <v>26</v>
      </c>
      <c r="G12" s="11" t="s">
        <v>18</v>
      </c>
      <c r="I12" s="15" t="s">
        <v>27</v>
      </c>
      <c r="J12" s="11" t="s">
        <v>18</v>
      </c>
      <c r="K12" s="15" t="s">
        <v>28</v>
      </c>
      <c r="L12" s="11" t="s">
        <v>18</v>
      </c>
      <c r="M12" s="15" t="s">
        <v>28</v>
      </c>
    </row>
    <row r="13" spans="2:13" ht="106.5" customHeight="1">
      <c r="B13" s="5">
        <v>5</v>
      </c>
      <c r="C13" s="83" t="s">
        <v>29</v>
      </c>
      <c r="D13" s="78"/>
      <c r="E13" s="6" t="s">
        <v>12</v>
      </c>
      <c r="F13" s="15" t="s">
        <v>30</v>
      </c>
      <c r="G13" s="6" t="s">
        <v>12</v>
      </c>
      <c r="I13" s="16" t="s">
        <v>31</v>
      </c>
      <c r="J13" s="6" t="s">
        <v>12</v>
      </c>
      <c r="K13" s="15" t="s">
        <v>30</v>
      </c>
      <c r="L13" s="6" t="s">
        <v>12</v>
      </c>
      <c r="M13" s="17" t="s">
        <v>32</v>
      </c>
    </row>
    <row r="14" spans="2:13" ht="111.75" customHeight="1">
      <c r="B14" s="5">
        <v>6</v>
      </c>
      <c r="C14" s="83" t="s">
        <v>33</v>
      </c>
      <c r="D14" s="78"/>
      <c r="E14" s="6" t="s">
        <v>12</v>
      </c>
      <c r="F14" s="17" t="s">
        <v>34</v>
      </c>
      <c r="G14" s="8" t="s">
        <v>12</v>
      </c>
      <c r="I14" s="16" t="s">
        <v>35</v>
      </c>
      <c r="J14" s="6" t="s">
        <v>12</v>
      </c>
      <c r="K14" s="17" t="s">
        <v>36</v>
      </c>
      <c r="L14" s="6" t="s">
        <v>12</v>
      </c>
      <c r="M14" s="17" t="s">
        <v>37</v>
      </c>
    </row>
    <row r="15" spans="2:13" ht="126.75" customHeight="1">
      <c r="B15" s="5">
        <v>7</v>
      </c>
      <c r="C15" s="83" t="s">
        <v>38</v>
      </c>
      <c r="D15" s="78"/>
      <c r="E15" s="11" t="s">
        <v>18</v>
      </c>
      <c r="F15" s="17" t="s">
        <v>39</v>
      </c>
      <c r="G15" s="11" t="s">
        <v>18</v>
      </c>
      <c r="H15" s="18"/>
      <c r="I15" s="16" t="s">
        <v>40</v>
      </c>
      <c r="J15" s="6" t="s">
        <v>12</v>
      </c>
      <c r="K15" s="17" t="s">
        <v>41</v>
      </c>
      <c r="L15" s="11" t="s">
        <v>18</v>
      </c>
      <c r="M15" s="17" t="s">
        <v>42</v>
      </c>
    </row>
    <row r="16" spans="2:13" ht="121.5" customHeight="1">
      <c r="B16" s="5">
        <v>8</v>
      </c>
      <c r="C16" s="83" t="s">
        <v>43</v>
      </c>
      <c r="D16" s="78"/>
      <c r="E16" s="11" t="s">
        <v>18</v>
      </c>
      <c r="F16" s="17" t="s">
        <v>44</v>
      </c>
      <c r="G16" s="6" t="s">
        <v>12</v>
      </c>
      <c r="H16" s="18"/>
      <c r="I16" s="16" t="s">
        <v>45</v>
      </c>
      <c r="J16" s="6" t="s">
        <v>12</v>
      </c>
      <c r="K16" s="17" t="s">
        <v>46</v>
      </c>
      <c r="L16" s="6" t="s">
        <v>12</v>
      </c>
      <c r="M16" s="17" t="s">
        <v>47</v>
      </c>
    </row>
    <row r="17" spans="2:13" ht="115.5" customHeight="1">
      <c r="B17" s="5">
        <v>9</v>
      </c>
      <c r="C17" s="83" t="s">
        <v>48</v>
      </c>
      <c r="D17" s="78"/>
      <c r="E17" s="6" t="s">
        <v>12</v>
      </c>
      <c r="F17" s="19" t="s">
        <v>49</v>
      </c>
      <c r="G17" s="6" t="s">
        <v>12</v>
      </c>
      <c r="H17" s="20"/>
      <c r="I17" s="21" t="s">
        <v>50</v>
      </c>
      <c r="J17" s="6" t="s">
        <v>12</v>
      </c>
      <c r="K17" s="22" t="s">
        <v>51</v>
      </c>
      <c r="L17" s="6" t="s">
        <v>12</v>
      </c>
      <c r="M17" s="22" t="s">
        <v>52</v>
      </c>
    </row>
    <row r="18" spans="2:13" ht="110.25" customHeight="1">
      <c r="B18" s="5">
        <v>10</v>
      </c>
      <c r="C18" s="83" t="s">
        <v>53</v>
      </c>
      <c r="D18" s="78"/>
      <c r="E18" s="6" t="s">
        <v>12</v>
      </c>
      <c r="F18" s="15" t="s">
        <v>54</v>
      </c>
      <c r="G18" s="6" t="s">
        <v>12</v>
      </c>
      <c r="H18" s="20"/>
      <c r="I18" s="16" t="s">
        <v>55</v>
      </c>
      <c r="J18" s="6" t="s">
        <v>12</v>
      </c>
      <c r="K18" s="17" t="s">
        <v>56</v>
      </c>
      <c r="L18" s="6" t="s">
        <v>12</v>
      </c>
      <c r="M18" s="17" t="s">
        <v>57</v>
      </c>
    </row>
    <row r="19" spans="2:13" ht="110.25" customHeight="1">
      <c r="B19" s="5">
        <v>11</v>
      </c>
      <c r="C19" s="83" t="s">
        <v>58</v>
      </c>
      <c r="D19" s="78"/>
      <c r="E19" s="6" t="s">
        <v>12</v>
      </c>
      <c r="F19" s="15" t="s">
        <v>59</v>
      </c>
      <c r="G19" s="6" t="s">
        <v>12</v>
      </c>
      <c r="H19" s="20"/>
      <c r="I19" s="16" t="s">
        <v>60</v>
      </c>
      <c r="J19" s="13" t="s">
        <v>18</v>
      </c>
      <c r="K19" s="17" t="s">
        <v>61</v>
      </c>
      <c r="L19" s="6" t="s">
        <v>12</v>
      </c>
      <c r="M19" s="17" t="s">
        <v>62</v>
      </c>
    </row>
    <row r="20" spans="2:13" ht="14.25" customHeight="1">
      <c r="C20" s="1"/>
    </row>
    <row r="21" spans="2:13" ht="14.25" customHeight="1">
      <c r="C21" s="1"/>
    </row>
    <row r="22" spans="2:13" ht="14.25" customHeight="1">
      <c r="C22" s="1"/>
    </row>
    <row r="23" spans="2:13" ht="14.25" customHeight="1">
      <c r="C23" s="1"/>
    </row>
    <row r="24" spans="2:13" ht="14.25" customHeight="1">
      <c r="C24" s="1"/>
    </row>
    <row r="25" spans="2:13" ht="14.25" customHeight="1">
      <c r="C25" s="1"/>
    </row>
    <row r="26" spans="2:13" ht="14.25" customHeight="1">
      <c r="C26" s="1"/>
    </row>
    <row r="27" spans="2:13" ht="14.25" customHeight="1">
      <c r="C27" s="1"/>
    </row>
    <row r="28" spans="2:13" ht="14.25" customHeight="1">
      <c r="C28" s="1"/>
    </row>
    <row r="29" spans="2:13" ht="14.25" customHeight="1">
      <c r="C29" s="1"/>
    </row>
    <row r="30" spans="2:13" ht="14.25" customHeight="1">
      <c r="C30" s="1"/>
    </row>
    <row r="31" spans="2:13" ht="14.25" customHeight="1">
      <c r="C31" s="1"/>
    </row>
    <row r="32" spans="2:13" ht="14.25" customHeight="1">
      <c r="C32" s="1"/>
    </row>
    <row r="33" spans="3:3" ht="14.25" customHeight="1">
      <c r="C33" s="1"/>
    </row>
    <row r="34" spans="3:3" ht="14.25" customHeight="1">
      <c r="C34" s="1"/>
    </row>
    <row r="35" spans="3:3" ht="14.25" customHeight="1">
      <c r="C35" s="1"/>
    </row>
    <row r="36" spans="3:3" ht="14.25" customHeight="1">
      <c r="C36" s="1"/>
    </row>
    <row r="37" spans="3:3" ht="14.25" customHeight="1">
      <c r="C37" s="1"/>
    </row>
    <row r="38" spans="3:3" ht="14.25" customHeight="1">
      <c r="C38" s="1"/>
    </row>
    <row r="39" spans="3:3" ht="14.25" customHeight="1">
      <c r="C39" s="1"/>
    </row>
    <row r="40" spans="3:3" ht="14.25" customHeight="1">
      <c r="C40" s="1"/>
    </row>
    <row r="41" spans="3:3" ht="14.25" customHeight="1">
      <c r="C41" s="1"/>
    </row>
    <row r="42" spans="3:3" ht="14.25" customHeight="1">
      <c r="C42" s="1"/>
    </row>
    <row r="43" spans="3:3" ht="14.25" customHeight="1">
      <c r="C43" s="1"/>
    </row>
    <row r="44" spans="3:3" ht="14.25" customHeight="1">
      <c r="C44" s="1"/>
    </row>
    <row r="45" spans="3:3" ht="14.25" customHeight="1">
      <c r="C45" s="1"/>
    </row>
    <row r="46" spans="3:3" ht="14.25" customHeight="1">
      <c r="C46" s="1"/>
    </row>
    <row r="47" spans="3:3" ht="14.25" customHeight="1">
      <c r="C47" s="1"/>
    </row>
    <row r="48" spans="3:3" ht="14.25" customHeight="1">
      <c r="C48" s="1"/>
    </row>
    <row r="49" spans="3:3" ht="14.25" customHeight="1">
      <c r="C49" s="1"/>
    </row>
    <row r="50" spans="3:3" ht="14.25" customHeight="1">
      <c r="C50" s="1"/>
    </row>
    <row r="51" spans="3:3" ht="14.25" customHeight="1">
      <c r="C51" s="1"/>
    </row>
    <row r="52" spans="3:3" ht="14.25" customHeight="1">
      <c r="C52" s="1"/>
    </row>
    <row r="53" spans="3:3" ht="14.25" customHeight="1">
      <c r="C53" s="1"/>
    </row>
    <row r="54" spans="3:3" ht="14.25" customHeight="1">
      <c r="C54" s="1"/>
    </row>
    <row r="55" spans="3:3" ht="14.25" customHeight="1">
      <c r="C55" s="1"/>
    </row>
    <row r="56" spans="3:3" ht="14.25" customHeight="1">
      <c r="C56" s="1"/>
    </row>
    <row r="57" spans="3:3" ht="14.25" customHeight="1">
      <c r="C57" s="1"/>
    </row>
    <row r="58" spans="3:3" ht="14.25" customHeight="1">
      <c r="C58" s="1"/>
    </row>
    <row r="59" spans="3:3" ht="14.25" customHeight="1">
      <c r="C59" s="1"/>
    </row>
    <row r="60" spans="3:3" ht="14.25" customHeight="1">
      <c r="C60" s="1"/>
    </row>
    <row r="61" spans="3:3" ht="14.25" customHeight="1">
      <c r="C61" s="1"/>
    </row>
    <row r="62" spans="3:3" ht="14.25" customHeight="1">
      <c r="C62" s="1"/>
    </row>
    <row r="63" spans="3:3" ht="14.25" customHeight="1">
      <c r="C63" s="1"/>
    </row>
    <row r="64" spans="3:3" ht="14.25" customHeight="1">
      <c r="C64" s="1"/>
    </row>
    <row r="65" spans="3:3" ht="14.25" customHeight="1">
      <c r="C65" s="1"/>
    </row>
    <row r="66" spans="3:3" ht="14.25" customHeight="1">
      <c r="C66" s="1"/>
    </row>
    <row r="67" spans="3:3" ht="14.25" customHeight="1">
      <c r="C67" s="1"/>
    </row>
    <row r="68" spans="3:3" ht="14.25" customHeight="1">
      <c r="C68" s="1"/>
    </row>
    <row r="69" spans="3:3" ht="14.25" customHeight="1">
      <c r="C69" s="1"/>
    </row>
    <row r="70" spans="3:3" ht="14.25" customHeight="1">
      <c r="C70" s="1"/>
    </row>
    <row r="71" spans="3:3" ht="14.25" customHeight="1">
      <c r="C71" s="1"/>
    </row>
    <row r="72" spans="3:3" ht="14.25" customHeight="1">
      <c r="C72" s="1"/>
    </row>
    <row r="73" spans="3:3" ht="14.25" customHeight="1">
      <c r="C73" s="1"/>
    </row>
    <row r="74" spans="3:3" ht="14.25" customHeight="1">
      <c r="C74" s="1"/>
    </row>
    <row r="75" spans="3:3" ht="14.25" customHeight="1">
      <c r="C75" s="1"/>
    </row>
    <row r="76" spans="3:3" ht="14.25" customHeight="1">
      <c r="C76" s="1"/>
    </row>
    <row r="77" spans="3:3" ht="14.25" customHeight="1">
      <c r="C77" s="1"/>
    </row>
    <row r="78" spans="3:3" ht="14.25" customHeight="1">
      <c r="C78" s="1"/>
    </row>
    <row r="79" spans="3:3" ht="14.25" customHeight="1">
      <c r="C79" s="1"/>
    </row>
    <row r="80" spans="3:3" ht="14.25" customHeight="1">
      <c r="C80" s="1"/>
    </row>
    <row r="81" spans="3:3" ht="14.25" customHeight="1">
      <c r="C81" s="1"/>
    </row>
    <row r="82" spans="3:3" ht="14.25" customHeight="1">
      <c r="C82" s="1"/>
    </row>
    <row r="83" spans="3:3" ht="14.25" customHeight="1">
      <c r="C83" s="1"/>
    </row>
    <row r="84" spans="3:3" ht="14.25" customHeight="1">
      <c r="C84" s="1"/>
    </row>
    <row r="85" spans="3:3" ht="14.25" customHeight="1">
      <c r="C85" s="1"/>
    </row>
    <row r="86" spans="3:3" ht="14.25" customHeight="1">
      <c r="C86" s="1"/>
    </row>
    <row r="87" spans="3:3" ht="14.25" customHeight="1">
      <c r="C87" s="1"/>
    </row>
    <row r="88" spans="3:3" ht="14.25" customHeight="1">
      <c r="C88" s="1"/>
    </row>
    <row r="89" spans="3:3" ht="14.25" customHeight="1">
      <c r="C89" s="1"/>
    </row>
    <row r="90" spans="3:3" ht="14.25" customHeight="1">
      <c r="C90" s="1"/>
    </row>
    <row r="91" spans="3:3" ht="14.25" customHeight="1">
      <c r="C91" s="1"/>
    </row>
    <row r="92" spans="3:3" ht="14.25" customHeight="1">
      <c r="C92" s="1"/>
    </row>
    <row r="93" spans="3:3" ht="14.25" customHeight="1">
      <c r="C93" s="1"/>
    </row>
    <row r="94" spans="3:3" ht="14.25" customHeight="1">
      <c r="C94" s="1"/>
    </row>
    <row r="95" spans="3:3" ht="14.25" customHeight="1">
      <c r="C95" s="1"/>
    </row>
    <row r="96" spans="3:3" ht="14.25" customHeight="1">
      <c r="C96" s="1"/>
    </row>
    <row r="97" spans="3:3" ht="14.25" customHeight="1">
      <c r="C97" s="1"/>
    </row>
    <row r="98" spans="3:3" ht="14.25" customHeight="1">
      <c r="C98" s="1"/>
    </row>
    <row r="99" spans="3:3" ht="14.25" customHeight="1">
      <c r="C99" s="1"/>
    </row>
    <row r="100" spans="3:3" ht="14.25" customHeight="1">
      <c r="C100" s="1"/>
    </row>
    <row r="101" spans="3:3" ht="14.25" customHeight="1">
      <c r="C101" s="1"/>
    </row>
    <row r="102" spans="3:3" ht="14.25" customHeight="1">
      <c r="C102" s="1"/>
    </row>
    <row r="103" spans="3:3" ht="14.25" customHeight="1">
      <c r="C103" s="1"/>
    </row>
    <row r="104" spans="3:3" ht="14.25" customHeight="1">
      <c r="C104" s="1"/>
    </row>
    <row r="105" spans="3:3" ht="14.25" customHeight="1">
      <c r="C105" s="1"/>
    </row>
    <row r="106" spans="3:3" ht="14.25" customHeight="1">
      <c r="C106" s="1"/>
    </row>
    <row r="107" spans="3:3" ht="14.25" customHeight="1">
      <c r="C107" s="1"/>
    </row>
    <row r="108" spans="3:3" ht="14.25" customHeight="1">
      <c r="C108" s="1"/>
    </row>
    <row r="109" spans="3:3" ht="14.25" customHeight="1">
      <c r="C109" s="1"/>
    </row>
    <row r="110" spans="3:3" ht="14.25" customHeight="1">
      <c r="C110" s="1"/>
    </row>
    <row r="111" spans="3:3" ht="14.25" customHeight="1">
      <c r="C111" s="1"/>
    </row>
    <row r="112" spans="3:3" ht="14.25" customHeight="1">
      <c r="C112" s="1"/>
    </row>
    <row r="113" spans="3:3" ht="14.25" customHeight="1">
      <c r="C113" s="1"/>
    </row>
    <row r="114" spans="3:3" ht="14.25" customHeight="1">
      <c r="C114" s="1"/>
    </row>
    <row r="115" spans="3:3" ht="14.25" customHeight="1">
      <c r="C115" s="1"/>
    </row>
    <row r="116" spans="3:3" ht="14.25" customHeight="1">
      <c r="C116" s="1"/>
    </row>
    <row r="117" spans="3:3" ht="14.25" customHeight="1">
      <c r="C117" s="1"/>
    </row>
    <row r="118" spans="3:3" ht="14.25" customHeight="1">
      <c r="C118" s="1"/>
    </row>
    <row r="119" spans="3:3" ht="14.25" customHeight="1">
      <c r="C119" s="1"/>
    </row>
    <row r="120" spans="3:3" ht="14.25" customHeight="1">
      <c r="C120" s="1"/>
    </row>
    <row r="121" spans="3:3" ht="14.25" customHeight="1">
      <c r="C121" s="1"/>
    </row>
    <row r="122" spans="3:3" ht="14.25" customHeight="1">
      <c r="C122" s="1"/>
    </row>
    <row r="123" spans="3:3" ht="14.25" customHeight="1">
      <c r="C123" s="1"/>
    </row>
    <row r="124" spans="3:3" ht="14.25" customHeight="1">
      <c r="C124" s="1"/>
    </row>
    <row r="125" spans="3:3" ht="14.25" customHeight="1">
      <c r="C125" s="1"/>
    </row>
    <row r="126" spans="3:3" ht="14.25" customHeight="1">
      <c r="C126" s="1"/>
    </row>
    <row r="127" spans="3:3" ht="14.25" customHeight="1">
      <c r="C127" s="1"/>
    </row>
    <row r="128" spans="3:3" ht="14.25" customHeight="1">
      <c r="C128" s="1"/>
    </row>
    <row r="129" spans="3:3" ht="14.25" customHeight="1">
      <c r="C129" s="1"/>
    </row>
    <row r="130" spans="3:3" ht="14.25" customHeight="1">
      <c r="C130" s="1"/>
    </row>
    <row r="131" spans="3:3" ht="14.25" customHeight="1">
      <c r="C131" s="1"/>
    </row>
    <row r="132" spans="3:3" ht="14.25" customHeight="1">
      <c r="C132" s="1"/>
    </row>
    <row r="133" spans="3:3" ht="14.25" customHeight="1">
      <c r="C133" s="1"/>
    </row>
    <row r="134" spans="3:3" ht="14.25" customHeight="1">
      <c r="C134" s="1"/>
    </row>
    <row r="135" spans="3:3" ht="14.25" customHeight="1">
      <c r="C135" s="1"/>
    </row>
    <row r="136" spans="3:3" ht="14.25" customHeight="1">
      <c r="C136" s="1"/>
    </row>
    <row r="137" spans="3:3" ht="14.25" customHeight="1">
      <c r="C137" s="1"/>
    </row>
    <row r="138" spans="3:3" ht="14.25" customHeight="1">
      <c r="C138" s="1"/>
    </row>
    <row r="139" spans="3:3" ht="14.25" customHeight="1">
      <c r="C139" s="1"/>
    </row>
    <row r="140" spans="3:3" ht="14.25" customHeight="1">
      <c r="C140" s="1"/>
    </row>
    <row r="141" spans="3:3" ht="14.25" customHeight="1">
      <c r="C141" s="1"/>
    </row>
    <row r="142" spans="3:3" ht="14.25" customHeight="1">
      <c r="C142" s="1"/>
    </row>
    <row r="143" spans="3:3" ht="14.25" customHeight="1">
      <c r="C143" s="1"/>
    </row>
    <row r="144" spans="3:3" ht="14.25" customHeight="1">
      <c r="C144" s="1"/>
    </row>
    <row r="145" spans="3:3" ht="14.25" customHeight="1">
      <c r="C145" s="1"/>
    </row>
    <row r="146" spans="3:3" ht="14.25" customHeight="1">
      <c r="C146" s="1"/>
    </row>
    <row r="147" spans="3:3" ht="14.25" customHeight="1">
      <c r="C147" s="1"/>
    </row>
    <row r="148" spans="3:3" ht="14.25" customHeight="1">
      <c r="C148" s="1"/>
    </row>
    <row r="149" spans="3:3" ht="14.25" customHeight="1">
      <c r="C149" s="1"/>
    </row>
    <row r="150" spans="3:3" ht="14.25" customHeight="1">
      <c r="C150" s="1"/>
    </row>
    <row r="151" spans="3:3" ht="14.25" customHeight="1">
      <c r="C151" s="1"/>
    </row>
    <row r="152" spans="3:3" ht="14.25" customHeight="1">
      <c r="C152" s="1"/>
    </row>
    <row r="153" spans="3:3" ht="14.25" customHeight="1">
      <c r="C153" s="1"/>
    </row>
    <row r="154" spans="3:3" ht="14.25" customHeight="1">
      <c r="C154" s="1"/>
    </row>
    <row r="155" spans="3:3" ht="14.25" customHeight="1">
      <c r="C155" s="1"/>
    </row>
    <row r="156" spans="3:3" ht="14.25" customHeight="1">
      <c r="C156" s="1"/>
    </row>
    <row r="157" spans="3:3" ht="14.25" customHeight="1">
      <c r="C157" s="1"/>
    </row>
    <row r="158" spans="3:3" ht="14.25" customHeight="1">
      <c r="C158" s="1"/>
    </row>
    <row r="159" spans="3:3" ht="14.25" customHeight="1">
      <c r="C159" s="1"/>
    </row>
    <row r="160" spans="3:3" ht="14.25" customHeight="1">
      <c r="C160" s="1"/>
    </row>
    <row r="161" spans="3:3" ht="14.25" customHeight="1">
      <c r="C161" s="1"/>
    </row>
    <row r="162" spans="3:3" ht="14.25" customHeight="1">
      <c r="C162" s="1"/>
    </row>
    <row r="163" spans="3:3" ht="14.25" customHeight="1">
      <c r="C163" s="1"/>
    </row>
    <row r="164" spans="3:3" ht="14.25" customHeight="1">
      <c r="C164" s="1"/>
    </row>
    <row r="165" spans="3:3" ht="14.25" customHeight="1">
      <c r="C165" s="1"/>
    </row>
    <row r="166" spans="3:3" ht="14.25" customHeight="1">
      <c r="C166" s="1"/>
    </row>
    <row r="167" spans="3:3" ht="14.25" customHeight="1">
      <c r="C167" s="1"/>
    </row>
    <row r="168" spans="3:3" ht="14.25" customHeight="1">
      <c r="C168" s="1"/>
    </row>
    <row r="169" spans="3:3" ht="14.25" customHeight="1">
      <c r="C169" s="1"/>
    </row>
    <row r="170" spans="3:3" ht="14.25" customHeight="1">
      <c r="C170" s="1"/>
    </row>
    <row r="171" spans="3:3" ht="14.25" customHeight="1">
      <c r="C171" s="1"/>
    </row>
    <row r="172" spans="3:3" ht="14.25" customHeight="1">
      <c r="C172" s="1"/>
    </row>
    <row r="173" spans="3:3" ht="14.25" customHeight="1">
      <c r="C173" s="1"/>
    </row>
    <row r="174" spans="3:3" ht="14.25" customHeight="1">
      <c r="C174" s="1"/>
    </row>
    <row r="175" spans="3:3" ht="14.25" customHeight="1">
      <c r="C175" s="1"/>
    </row>
    <row r="176" spans="3:3" ht="14.25" customHeight="1">
      <c r="C176" s="1"/>
    </row>
    <row r="177" spans="3:3" ht="14.25" customHeight="1">
      <c r="C177" s="1"/>
    </row>
    <row r="178" spans="3:3" ht="14.25" customHeight="1">
      <c r="C178" s="1"/>
    </row>
    <row r="179" spans="3:3" ht="14.25" customHeight="1">
      <c r="C179" s="1"/>
    </row>
    <row r="180" spans="3:3" ht="14.25" customHeight="1">
      <c r="C180" s="1"/>
    </row>
    <row r="181" spans="3:3" ht="14.25" customHeight="1">
      <c r="C181" s="1"/>
    </row>
    <row r="182" spans="3:3" ht="14.25" customHeight="1">
      <c r="C182" s="1"/>
    </row>
    <row r="183" spans="3:3" ht="14.25" customHeight="1">
      <c r="C183" s="1"/>
    </row>
    <row r="184" spans="3:3" ht="14.25" customHeight="1">
      <c r="C184" s="1"/>
    </row>
    <row r="185" spans="3:3" ht="14.25" customHeight="1">
      <c r="C185" s="1"/>
    </row>
    <row r="186" spans="3:3" ht="14.25" customHeight="1">
      <c r="C186" s="1"/>
    </row>
    <row r="187" spans="3:3" ht="14.25" customHeight="1">
      <c r="C187" s="1"/>
    </row>
    <row r="188" spans="3:3" ht="14.25" customHeight="1">
      <c r="C188" s="1"/>
    </row>
    <row r="189" spans="3:3" ht="14.25" customHeight="1">
      <c r="C189" s="1"/>
    </row>
    <row r="190" spans="3:3" ht="14.25" customHeight="1">
      <c r="C190" s="1"/>
    </row>
    <row r="191" spans="3:3" ht="14.25" customHeight="1">
      <c r="C191" s="1"/>
    </row>
    <row r="192" spans="3:3" ht="14.25" customHeight="1">
      <c r="C192" s="1"/>
    </row>
    <row r="193" spans="3:3" ht="14.25" customHeight="1">
      <c r="C193" s="1"/>
    </row>
    <row r="194" spans="3:3" ht="14.25" customHeight="1">
      <c r="C194" s="1"/>
    </row>
    <row r="195" spans="3:3" ht="14.25" customHeight="1">
      <c r="C195" s="1"/>
    </row>
    <row r="196" spans="3:3" ht="14.25" customHeight="1">
      <c r="C196" s="1"/>
    </row>
    <row r="197" spans="3:3" ht="14.25" customHeight="1">
      <c r="C197" s="1"/>
    </row>
    <row r="198" spans="3:3" ht="14.25" customHeight="1">
      <c r="C198" s="1"/>
    </row>
    <row r="199" spans="3:3" ht="14.25" customHeight="1">
      <c r="C199" s="1"/>
    </row>
    <row r="200" spans="3:3" ht="14.25" customHeight="1">
      <c r="C200" s="1"/>
    </row>
    <row r="201" spans="3:3" ht="14.25" customHeight="1">
      <c r="C201" s="1"/>
    </row>
    <row r="202" spans="3:3" ht="14.25" customHeight="1">
      <c r="C202" s="1"/>
    </row>
    <row r="203" spans="3:3" ht="14.25" customHeight="1">
      <c r="C203" s="1"/>
    </row>
    <row r="204" spans="3:3" ht="14.25" customHeight="1">
      <c r="C204" s="1"/>
    </row>
    <row r="205" spans="3:3" ht="14.25" customHeight="1">
      <c r="C205" s="1"/>
    </row>
    <row r="206" spans="3:3" ht="14.25" customHeight="1">
      <c r="C206" s="1"/>
    </row>
    <row r="207" spans="3:3" ht="14.25" customHeight="1">
      <c r="C207" s="1"/>
    </row>
    <row r="208" spans="3:3" ht="14.25" customHeight="1">
      <c r="C208" s="1"/>
    </row>
    <row r="209" spans="3:3" ht="14.25" customHeight="1">
      <c r="C209" s="1"/>
    </row>
    <row r="210" spans="3:3" ht="14.25" customHeight="1">
      <c r="C210" s="1"/>
    </row>
    <row r="211" spans="3:3" ht="14.25" customHeight="1">
      <c r="C211" s="1"/>
    </row>
    <row r="212" spans="3:3" ht="14.25" customHeight="1">
      <c r="C212" s="1"/>
    </row>
    <row r="213" spans="3:3" ht="14.25" customHeight="1">
      <c r="C213" s="1"/>
    </row>
    <row r="214" spans="3:3" ht="14.25" customHeight="1">
      <c r="C214" s="1"/>
    </row>
    <row r="215" spans="3:3" ht="14.25" customHeight="1">
      <c r="C215" s="1"/>
    </row>
    <row r="216" spans="3:3" ht="14.25" customHeight="1">
      <c r="C216" s="1"/>
    </row>
    <row r="217" spans="3:3" ht="14.25" customHeight="1">
      <c r="C217" s="1"/>
    </row>
    <row r="218" spans="3:3" ht="14.25" customHeight="1">
      <c r="C218" s="1"/>
    </row>
    <row r="219" spans="3:3" ht="14.25" customHeight="1">
      <c r="C219" s="1"/>
    </row>
    <row r="220" spans="3:3" ht="14.25" customHeight="1">
      <c r="C220" s="1"/>
    </row>
    <row r="221" spans="3:3" ht="15.75" customHeight="1"/>
    <row r="222" spans="3:3" ht="15.75" customHeight="1"/>
    <row r="223" spans="3:3" ht="15.75" customHeight="1"/>
    <row r="224" spans="3:3"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C16:D16"/>
    <mergeCell ref="C17:D17"/>
    <mergeCell ref="C18:D18"/>
    <mergeCell ref="C19:D19"/>
    <mergeCell ref="C9:D9"/>
    <mergeCell ref="C10:D10"/>
    <mergeCell ref="C11:D11"/>
    <mergeCell ref="C12:D12"/>
    <mergeCell ref="C13:D13"/>
    <mergeCell ref="C14:D14"/>
    <mergeCell ref="C15:D15"/>
    <mergeCell ref="M7:M8"/>
    <mergeCell ref="C3:M4"/>
    <mergeCell ref="E5:K5"/>
    <mergeCell ref="E6:M6"/>
    <mergeCell ref="B7:B8"/>
    <mergeCell ref="C7:D8"/>
    <mergeCell ref="E7:E8"/>
    <mergeCell ref="F7:F8"/>
    <mergeCell ref="G7:G8"/>
    <mergeCell ref="I7:I8"/>
    <mergeCell ref="J7:J8"/>
    <mergeCell ref="K7:K8"/>
    <mergeCell ref="L7:L8"/>
  </mergeCells>
  <printOptions horizontalCentered="1" verticalCentered="1"/>
  <pageMargins left="0.47" right="0.70866141732283472" top="0.74803149606299213" bottom="0.74803149606299213" header="0" footer="0"/>
  <pageSetup paperSize="9" scale="56" orientation="landscape"/>
  <headerFooter>
    <oddFooter>&amp;LElaborado por: Ing Jenny A Ruiz R, Mónica  Gómez Docentes TC del Departamento de Ciencias de la  Computación IREB PROYECTO DE CHECK LIST  (CASO DE ESTUDIO ACADÉMICO)&amp;C&amp;P de &amp;R&amp;D</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3" workbookViewId="0"/>
  </sheetViews>
  <sheetFormatPr baseColWidth="10" defaultColWidth="14.44140625" defaultRowHeight="15" customHeight="1"/>
  <cols>
    <col min="1" max="1" width="10.6640625" customWidth="1"/>
    <col min="2" max="2" width="37.5546875" customWidth="1"/>
    <col min="3" max="3" width="16.109375" customWidth="1"/>
    <col min="4" max="24" width="10.6640625" customWidth="1"/>
  </cols>
  <sheetData>
    <row r="1" spans="1:26" ht="16.5" customHeight="1">
      <c r="A1" s="23"/>
      <c r="B1" s="24" t="s">
        <v>1</v>
      </c>
      <c r="C1" s="87" t="s">
        <v>2</v>
      </c>
      <c r="D1" s="74"/>
      <c r="E1" s="23"/>
      <c r="F1" s="23"/>
      <c r="G1" s="23"/>
      <c r="H1" s="23"/>
      <c r="I1" s="23"/>
      <c r="J1" s="23"/>
      <c r="K1" s="23"/>
      <c r="L1" s="23"/>
      <c r="M1" s="23"/>
      <c r="N1" s="23"/>
      <c r="O1" s="23"/>
      <c r="P1" s="23"/>
      <c r="Q1" s="23"/>
      <c r="R1" s="23"/>
      <c r="S1" s="23"/>
      <c r="T1" s="23"/>
      <c r="U1" s="23"/>
      <c r="V1" s="23"/>
      <c r="W1" s="23"/>
      <c r="X1" s="23"/>
      <c r="Y1" s="23"/>
      <c r="Z1" s="23"/>
    </row>
    <row r="2" spans="1:26" ht="14.25" customHeight="1">
      <c r="B2" s="25" t="s">
        <v>63</v>
      </c>
      <c r="C2" s="88">
        <v>46296</v>
      </c>
      <c r="D2" s="74"/>
    </row>
    <row r="3" spans="1:26" ht="14.25" customHeight="1">
      <c r="B3" s="25" t="s">
        <v>64</v>
      </c>
      <c r="C3" s="89" t="s">
        <v>67</v>
      </c>
      <c r="D3" s="74"/>
    </row>
    <row r="4" spans="1:26" ht="14.25" customHeight="1">
      <c r="B4" s="25" t="s">
        <v>66</v>
      </c>
      <c r="C4" s="89" t="s">
        <v>70</v>
      </c>
      <c r="D4" s="74"/>
    </row>
    <row r="5" spans="1:26" ht="14.25" customHeight="1"/>
    <row r="6" spans="1:26" ht="23.25" customHeight="1">
      <c r="A6" s="85" t="s">
        <v>68</v>
      </c>
      <c r="B6" s="74"/>
      <c r="C6" s="74"/>
      <c r="D6" s="74"/>
    </row>
    <row r="7" spans="1:26" ht="15" customHeight="1">
      <c r="A7" s="26" t="s">
        <v>69</v>
      </c>
      <c r="B7" s="27" t="s">
        <v>72</v>
      </c>
      <c r="C7" s="27" t="s">
        <v>73</v>
      </c>
      <c r="D7" s="28" t="s">
        <v>74</v>
      </c>
    </row>
    <row r="8" spans="1:26" ht="14.25" customHeight="1">
      <c r="A8" s="29">
        <v>1</v>
      </c>
      <c r="B8" s="30" t="s">
        <v>75</v>
      </c>
      <c r="C8" s="31" t="s">
        <v>76</v>
      </c>
      <c r="D8" s="32"/>
    </row>
    <row r="9" spans="1:26" ht="14.25" customHeight="1">
      <c r="A9" s="29">
        <v>2</v>
      </c>
      <c r="B9" s="30" t="s">
        <v>77</v>
      </c>
      <c r="C9" s="31" t="s">
        <v>76</v>
      </c>
      <c r="D9" s="32"/>
    </row>
    <row r="10" spans="1:26" ht="14.25" customHeight="1">
      <c r="A10" s="29">
        <v>3</v>
      </c>
      <c r="B10" s="30" t="s">
        <v>78</v>
      </c>
      <c r="C10" s="31" t="s">
        <v>76</v>
      </c>
      <c r="D10" s="32"/>
    </row>
    <row r="11" spans="1:26" ht="14.25" customHeight="1">
      <c r="A11" s="29">
        <v>4</v>
      </c>
      <c r="B11" s="30" t="s">
        <v>79</v>
      </c>
      <c r="C11" s="31" t="s">
        <v>76</v>
      </c>
      <c r="D11" s="32"/>
    </row>
    <row r="12" spans="1:26" ht="14.25" customHeight="1">
      <c r="A12" s="29">
        <v>5</v>
      </c>
      <c r="B12" s="30" t="s">
        <v>80</v>
      </c>
      <c r="C12" s="31" t="s">
        <v>76</v>
      </c>
      <c r="D12" s="32"/>
    </row>
    <row r="13" spans="1:26" ht="14.25" customHeight="1">
      <c r="A13" s="29">
        <v>6</v>
      </c>
      <c r="B13" s="30" t="s">
        <v>81</v>
      </c>
      <c r="C13" s="31" t="s">
        <v>76</v>
      </c>
      <c r="D13" s="32"/>
    </row>
    <row r="14" spans="1:26" ht="14.25" customHeight="1">
      <c r="A14" s="29">
        <v>7</v>
      </c>
      <c r="B14" s="30" t="s">
        <v>82</v>
      </c>
      <c r="C14" s="31" t="s">
        <v>76</v>
      </c>
      <c r="D14" s="32"/>
    </row>
    <row r="15" spans="1:26" ht="14.25" customHeight="1">
      <c r="A15" s="29">
        <v>8</v>
      </c>
      <c r="B15" s="30" t="s">
        <v>83</v>
      </c>
      <c r="C15" s="31" t="s">
        <v>76</v>
      </c>
      <c r="D15" s="32"/>
    </row>
    <row r="16" spans="1:26" ht="14.25" customHeight="1">
      <c r="A16" s="33">
        <v>9</v>
      </c>
      <c r="B16" s="34" t="s">
        <v>84</v>
      </c>
      <c r="C16" s="35"/>
      <c r="D16" s="35" t="s">
        <v>76</v>
      </c>
    </row>
    <row r="17" spans="1:4" ht="14.25" customHeight="1">
      <c r="A17" s="84" t="s">
        <v>85</v>
      </c>
      <c r="B17" s="74"/>
      <c r="C17" s="37">
        <f>COUNTA('LISTA COMPROBACION RF-1'!$C$8:$C$16)</f>
        <v>8</v>
      </c>
      <c r="D17" s="37">
        <f>COUNTA('LISTA COMPROBACION RF-1'!$D$8:$D$16)</f>
        <v>1</v>
      </c>
    </row>
    <row r="18" spans="1:4" ht="14.25" customHeight="1">
      <c r="A18" s="84" t="s">
        <v>86</v>
      </c>
      <c r="B18" s="74"/>
      <c r="C18" s="38">
        <f t="shared" ref="C18:D18" si="0">C17/9</f>
        <v>0.88888888888888884</v>
      </c>
      <c r="D18" s="38">
        <f t="shared" si="0"/>
        <v>0.1111111111111111</v>
      </c>
    </row>
    <row r="19" spans="1:4" ht="14.25" customHeight="1">
      <c r="A19" s="36"/>
      <c r="B19" s="36"/>
      <c r="C19" s="38"/>
      <c r="D19" s="37"/>
    </row>
    <row r="20" spans="1:4" ht="21.75" customHeight="1">
      <c r="A20" s="90" t="s">
        <v>87</v>
      </c>
      <c r="B20" s="91"/>
      <c r="C20" s="91"/>
      <c r="D20" s="91"/>
    </row>
    <row r="21" spans="1:4" ht="14.25" customHeight="1">
      <c r="A21" s="39" t="s">
        <v>69</v>
      </c>
      <c r="B21" s="40" t="s">
        <v>72</v>
      </c>
      <c r="C21" s="41" t="s">
        <v>73</v>
      </c>
      <c r="D21" s="42" t="s">
        <v>74</v>
      </c>
    </row>
    <row r="22" spans="1:4" ht="14.25" customHeight="1">
      <c r="A22" s="29">
        <v>1</v>
      </c>
      <c r="B22" s="30" t="s">
        <v>88</v>
      </c>
      <c r="C22" s="35" t="s">
        <v>76</v>
      </c>
      <c r="D22" s="32"/>
    </row>
    <row r="23" spans="1:4" ht="14.25" customHeight="1">
      <c r="A23" s="29">
        <v>2</v>
      </c>
      <c r="B23" s="30" t="s">
        <v>89</v>
      </c>
      <c r="C23" s="35" t="s">
        <v>76</v>
      </c>
      <c r="D23" s="32"/>
    </row>
    <row r="24" spans="1:4" ht="14.25" customHeight="1">
      <c r="A24" s="29">
        <v>3</v>
      </c>
      <c r="B24" s="30" t="s">
        <v>90</v>
      </c>
      <c r="C24" s="35" t="s">
        <v>76</v>
      </c>
      <c r="D24" s="32"/>
    </row>
    <row r="25" spans="1:4" ht="14.25" customHeight="1">
      <c r="A25" s="29">
        <v>4</v>
      </c>
      <c r="B25" s="30" t="s">
        <v>91</v>
      </c>
      <c r="C25" s="35"/>
      <c r="D25" s="44" t="s">
        <v>76</v>
      </c>
    </row>
    <row r="26" spans="1:4" ht="14.25" customHeight="1">
      <c r="A26" s="33">
        <v>5</v>
      </c>
      <c r="B26" s="34" t="s">
        <v>92</v>
      </c>
      <c r="C26" s="35" t="s">
        <v>76</v>
      </c>
      <c r="D26" s="43"/>
    </row>
    <row r="27" spans="1:4" ht="14.25" customHeight="1">
      <c r="A27" s="84" t="s">
        <v>85</v>
      </c>
      <c r="B27" s="74"/>
      <c r="C27" s="37">
        <f>COUNTA('LISTA COMPROBACION RF-1'!$C$22:$C$26)</f>
        <v>4</v>
      </c>
      <c r="D27" s="37">
        <f>COUNTA('LISTA COMPROBACION RF-1'!$D$22:$D$26)</f>
        <v>1</v>
      </c>
    </row>
    <row r="28" spans="1:4" ht="14.25" customHeight="1">
      <c r="A28" s="84" t="s">
        <v>86</v>
      </c>
      <c r="B28" s="74"/>
      <c r="C28" s="38">
        <f t="shared" ref="C28:D28" si="1">C27/5</f>
        <v>0.8</v>
      </c>
      <c r="D28" s="38">
        <f t="shared" si="1"/>
        <v>0.2</v>
      </c>
    </row>
    <row r="29" spans="1:4" ht="14.25" customHeight="1">
      <c r="A29" s="36"/>
      <c r="B29" s="36"/>
      <c r="C29" s="38"/>
      <c r="D29" s="37"/>
    </row>
    <row r="30" spans="1:4" ht="21.75" customHeight="1">
      <c r="A30" s="85" t="s">
        <v>93</v>
      </c>
      <c r="B30" s="74"/>
      <c r="C30" s="74"/>
      <c r="D30" s="74"/>
    </row>
    <row r="31" spans="1:4" ht="14.25" customHeight="1">
      <c r="A31" s="39" t="s">
        <v>69</v>
      </c>
      <c r="B31" s="40" t="s">
        <v>72</v>
      </c>
      <c r="C31" s="41" t="s">
        <v>73</v>
      </c>
      <c r="D31" s="42" t="s">
        <v>74</v>
      </c>
    </row>
    <row r="32" spans="1:4" ht="14.25" customHeight="1">
      <c r="A32" s="29">
        <v>1</v>
      </c>
      <c r="B32" s="30" t="s">
        <v>94</v>
      </c>
      <c r="C32" s="35" t="s">
        <v>76</v>
      </c>
      <c r="D32" s="35"/>
    </row>
    <row r="33" spans="1:4" ht="14.25" customHeight="1">
      <c r="A33" s="29">
        <v>2</v>
      </c>
      <c r="B33" s="30" t="s">
        <v>95</v>
      </c>
      <c r="C33" s="35" t="s">
        <v>76</v>
      </c>
      <c r="D33" s="35"/>
    </row>
    <row r="34" spans="1:4" ht="14.25" customHeight="1">
      <c r="A34" s="33">
        <v>3</v>
      </c>
      <c r="B34" s="34" t="s">
        <v>96</v>
      </c>
      <c r="C34" s="35" t="s">
        <v>76</v>
      </c>
      <c r="D34" s="35"/>
    </row>
    <row r="35" spans="1:4" ht="14.25" customHeight="1">
      <c r="A35" s="84" t="s">
        <v>85</v>
      </c>
      <c r="B35" s="74"/>
      <c r="C35" s="9">
        <f>COUNTA('LISTA COMPROBACION RF-1'!$C$32:$C$34)</f>
        <v>3</v>
      </c>
      <c r="D35" s="9">
        <f>COUNTA('LISTA COMPROBACION RF-1'!$D$32:$D$34)</f>
        <v>0</v>
      </c>
    </row>
    <row r="36" spans="1:4" ht="14.25" customHeight="1">
      <c r="A36" s="84" t="s">
        <v>86</v>
      </c>
      <c r="B36" s="74"/>
      <c r="C36" s="38">
        <f t="shared" ref="C36:D36" si="2">C35/3</f>
        <v>1</v>
      </c>
      <c r="D36" s="38">
        <f t="shared" si="2"/>
        <v>0</v>
      </c>
    </row>
    <row r="37" spans="1:4" ht="14.25" customHeight="1"/>
    <row r="38" spans="1:4" ht="14.25" customHeight="1"/>
    <row r="39" spans="1:4" ht="14.25" customHeight="1"/>
    <row r="40" spans="1:4" ht="14.25" customHeight="1">
      <c r="A40" s="86" t="s">
        <v>97</v>
      </c>
      <c r="B40" s="74"/>
      <c r="C40" s="74"/>
    </row>
    <row r="41" spans="1:4" ht="30" customHeight="1">
      <c r="B41" s="23" t="s">
        <v>98</v>
      </c>
      <c r="C41" s="37">
        <v>89</v>
      </c>
    </row>
    <row r="42" spans="1:4" ht="30" customHeight="1">
      <c r="B42" s="23" t="s">
        <v>87</v>
      </c>
      <c r="C42" s="45">
        <v>80</v>
      </c>
    </row>
    <row r="43" spans="1:4" ht="30" customHeight="1">
      <c r="B43" s="23" t="s">
        <v>93</v>
      </c>
      <c r="C43" s="37">
        <v>100</v>
      </c>
    </row>
    <row r="44" spans="1:4" ht="14.25" customHeight="1">
      <c r="C44" s="37"/>
    </row>
    <row r="45" spans="1:4" ht="14.25" customHeight="1">
      <c r="C45" s="37"/>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D8:D16 D22:D26 D32:D34">
    <cfRule type="containsText" dxfId="10" priority="1" operator="containsText" text="X">
      <formula>NOT(ISERROR(SEARCH(("X"),(D8))))</formula>
    </cfRule>
  </conditionalFormatting>
  <conditionalFormatting sqref="C22:D26">
    <cfRule type="containsText" dxfId="9" priority="2" operator="containsText" text="X">
      <formula>NOT(ISERROR(SEARCH(("X"),(C22))))</formula>
    </cfRule>
  </conditionalFormatting>
  <conditionalFormatting sqref="C22:D26">
    <cfRule type="containsText" dxfId="8" priority="3" operator="containsText" text="X">
      <formula>NOT(ISERROR(SEARCH(("X"),(C22))))</formula>
    </cfRule>
  </conditionalFormatting>
  <conditionalFormatting sqref="C8:C16 C22:C26 C32:C34">
    <cfRule type="containsText" dxfId="7" priority="4" operator="containsText" text="X">
      <formula>NOT(ISERROR(SEARCH(("X"),(C8))))</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25" workbookViewId="0"/>
  </sheetViews>
  <sheetFormatPr baseColWidth="10" defaultColWidth="14.44140625" defaultRowHeight="15" customHeight="1"/>
  <cols>
    <col min="1" max="1" width="10.6640625" customWidth="1"/>
    <col min="2" max="2" width="39" customWidth="1"/>
    <col min="3" max="3" width="16.109375" customWidth="1"/>
    <col min="4" max="24" width="10.6640625" customWidth="1"/>
  </cols>
  <sheetData>
    <row r="1" spans="1:26" ht="51" customHeight="1">
      <c r="A1" s="23"/>
      <c r="B1" s="24" t="s">
        <v>1</v>
      </c>
      <c r="C1" s="87" t="s">
        <v>2</v>
      </c>
      <c r="D1" s="74"/>
      <c r="E1" s="23"/>
      <c r="F1" s="23"/>
      <c r="G1" s="23"/>
      <c r="H1" s="23"/>
      <c r="I1" s="23"/>
      <c r="J1" s="23"/>
      <c r="K1" s="23"/>
      <c r="L1" s="23"/>
      <c r="M1" s="23"/>
      <c r="N1" s="23"/>
      <c r="O1" s="23"/>
      <c r="P1" s="23"/>
      <c r="Q1" s="23"/>
      <c r="R1" s="23"/>
      <c r="S1" s="23"/>
      <c r="T1" s="23"/>
      <c r="U1" s="23"/>
      <c r="V1" s="23"/>
      <c r="W1" s="23"/>
      <c r="X1" s="23"/>
      <c r="Y1" s="23"/>
      <c r="Z1" s="23"/>
    </row>
    <row r="2" spans="1:26" ht="14.25" customHeight="1">
      <c r="B2" s="25" t="s">
        <v>63</v>
      </c>
      <c r="C2" s="88">
        <v>46296</v>
      </c>
      <c r="D2" s="74"/>
    </row>
    <row r="3" spans="1:26" ht="14.25" customHeight="1">
      <c r="B3" s="25" t="s">
        <v>64</v>
      </c>
      <c r="C3" s="89" t="s">
        <v>71</v>
      </c>
      <c r="D3" s="74"/>
    </row>
    <row r="4" spans="1:26" ht="14.25" customHeight="1">
      <c r="B4" s="25" t="s">
        <v>66</v>
      </c>
      <c r="C4" s="92" t="s">
        <v>8</v>
      </c>
      <c r="D4" s="74"/>
    </row>
    <row r="5" spans="1:26" ht="14.25" customHeight="1"/>
    <row r="6" spans="1:26" ht="14.25" customHeight="1">
      <c r="A6" s="85" t="s">
        <v>68</v>
      </c>
      <c r="B6" s="74"/>
      <c r="C6" s="74"/>
      <c r="D6" s="74"/>
    </row>
    <row r="7" spans="1:26" ht="15" customHeight="1">
      <c r="A7" s="26" t="s">
        <v>69</v>
      </c>
      <c r="B7" s="27" t="s">
        <v>72</v>
      </c>
      <c r="C7" s="27" t="s">
        <v>73</v>
      </c>
      <c r="D7" s="28" t="s">
        <v>74</v>
      </c>
    </row>
    <row r="8" spans="1:26" ht="41.25" customHeight="1">
      <c r="A8" s="29">
        <v>1</v>
      </c>
      <c r="B8" s="30" t="s">
        <v>75</v>
      </c>
      <c r="C8" s="31" t="s">
        <v>76</v>
      </c>
      <c r="D8" s="32"/>
    </row>
    <row r="9" spans="1:26" ht="41.25" customHeight="1">
      <c r="A9" s="29">
        <v>2</v>
      </c>
      <c r="B9" s="30" t="s">
        <v>77</v>
      </c>
      <c r="C9" s="31" t="s">
        <v>76</v>
      </c>
      <c r="D9" s="32"/>
    </row>
    <row r="10" spans="1:26" ht="41.25" customHeight="1">
      <c r="A10" s="29">
        <v>3</v>
      </c>
      <c r="B10" s="30" t="s">
        <v>78</v>
      </c>
      <c r="C10" s="31" t="s">
        <v>76</v>
      </c>
      <c r="D10" s="32"/>
    </row>
    <row r="11" spans="1:26" ht="41.25" customHeight="1">
      <c r="A11" s="29">
        <v>4</v>
      </c>
      <c r="B11" s="30" t="s">
        <v>79</v>
      </c>
      <c r="C11" s="31" t="s">
        <v>76</v>
      </c>
      <c r="D11" s="32"/>
    </row>
    <row r="12" spans="1:26" ht="41.25" customHeight="1">
      <c r="A12" s="29">
        <v>5</v>
      </c>
      <c r="B12" s="30" t="s">
        <v>80</v>
      </c>
      <c r="C12" s="31" t="s">
        <v>76</v>
      </c>
      <c r="D12" s="32"/>
    </row>
    <row r="13" spans="1:26" ht="41.25" customHeight="1">
      <c r="A13" s="29">
        <v>6</v>
      </c>
      <c r="B13" s="30" t="s">
        <v>81</v>
      </c>
      <c r="C13" s="31" t="s">
        <v>76</v>
      </c>
      <c r="D13" s="32"/>
    </row>
    <row r="14" spans="1:26" ht="41.25" customHeight="1">
      <c r="A14" s="29">
        <v>7</v>
      </c>
      <c r="B14" s="30" t="s">
        <v>82</v>
      </c>
      <c r="C14" s="31"/>
      <c r="D14" s="31" t="s">
        <v>76</v>
      </c>
    </row>
    <row r="15" spans="1:26" ht="41.25" customHeight="1">
      <c r="A15" s="29">
        <v>8</v>
      </c>
      <c r="B15" s="30" t="s">
        <v>83</v>
      </c>
      <c r="C15" s="31" t="s">
        <v>76</v>
      </c>
      <c r="D15" s="32"/>
    </row>
    <row r="16" spans="1:26" ht="41.25" customHeight="1">
      <c r="A16" s="33">
        <v>9</v>
      </c>
      <c r="B16" s="34" t="s">
        <v>84</v>
      </c>
      <c r="C16" s="35"/>
      <c r="D16" s="35" t="s">
        <v>76</v>
      </c>
    </row>
    <row r="17" spans="1:4" ht="14.25" customHeight="1">
      <c r="A17" s="84" t="s">
        <v>85</v>
      </c>
      <c r="B17" s="74"/>
      <c r="C17" s="37">
        <f>COUNTA('LISTA COMPROBACION RF-2'!$C$8:$C$16)</f>
        <v>7</v>
      </c>
      <c r="D17" s="37">
        <f>COUNTA('LISTA COMPROBACION RF-2'!$D$8:$D$16)</f>
        <v>2</v>
      </c>
    </row>
    <row r="18" spans="1:4" ht="14.25" customHeight="1">
      <c r="A18" s="84" t="s">
        <v>86</v>
      </c>
      <c r="B18" s="74"/>
      <c r="C18" s="38">
        <f t="shared" ref="C18:D18" si="0">C17/9</f>
        <v>0.77777777777777779</v>
      </c>
      <c r="D18" s="38">
        <f t="shared" si="0"/>
        <v>0.22222222222222221</v>
      </c>
    </row>
    <row r="19" spans="1:4" ht="14.25" customHeight="1">
      <c r="A19" s="36"/>
      <c r="B19" s="36"/>
      <c r="C19" s="38"/>
      <c r="D19" s="37"/>
    </row>
    <row r="20" spans="1:4" ht="14.25" customHeight="1">
      <c r="A20" s="90" t="s">
        <v>87</v>
      </c>
      <c r="B20" s="91"/>
      <c r="C20" s="91"/>
      <c r="D20" s="91"/>
    </row>
    <row r="21" spans="1:4" ht="14.25" customHeight="1">
      <c r="A21" s="39" t="s">
        <v>69</v>
      </c>
      <c r="B21" s="40" t="s">
        <v>72</v>
      </c>
      <c r="C21" s="41" t="s">
        <v>73</v>
      </c>
      <c r="D21" s="42" t="s">
        <v>74</v>
      </c>
    </row>
    <row r="22" spans="1:4" ht="28.5" customHeight="1">
      <c r="A22" s="29">
        <v>1</v>
      </c>
      <c r="B22" s="30" t="s">
        <v>88</v>
      </c>
      <c r="C22" s="35" t="s">
        <v>76</v>
      </c>
      <c r="D22" s="32"/>
    </row>
    <row r="23" spans="1:4" ht="28.5" customHeight="1">
      <c r="A23" s="29">
        <v>2</v>
      </c>
      <c r="B23" s="30" t="s">
        <v>89</v>
      </c>
      <c r="C23" s="35" t="s">
        <v>76</v>
      </c>
      <c r="D23" s="32"/>
    </row>
    <row r="24" spans="1:4" ht="28.5" customHeight="1">
      <c r="A24" s="29">
        <v>3</v>
      </c>
      <c r="B24" s="30" t="s">
        <v>90</v>
      </c>
      <c r="C24" s="35" t="s">
        <v>76</v>
      </c>
    </row>
    <row r="25" spans="1:4" ht="28.5" customHeight="1">
      <c r="A25" s="29">
        <v>4</v>
      </c>
      <c r="B25" s="30" t="s">
        <v>91</v>
      </c>
      <c r="C25" s="35" t="s">
        <v>76</v>
      </c>
      <c r="D25" s="32"/>
    </row>
    <row r="26" spans="1:4" ht="28.5" customHeight="1">
      <c r="A26" s="33">
        <v>5</v>
      </c>
      <c r="B26" s="34" t="s">
        <v>92</v>
      </c>
      <c r="C26" s="35" t="s">
        <v>76</v>
      </c>
      <c r="D26" s="43"/>
    </row>
    <row r="27" spans="1:4" ht="14.25" customHeight="1">
      <c r="A27" s="84" t="s">
        <v>85</v>
      </c>
      <c r="B27" s="74"/>
      <c r="C27" s="37">
        <f>COUNTA('LISTA COMPROBACION RF-2'!$C$22:$C$26)</f>
        <v>5</v>
      </c>
      <c r="D27" s="37">
        <f>COUNTA('LISTA COMPROBACION RF-2'!$D$22:$D$26)</f>
        <v>0</v>
      </c>
    </row>
    <row r="28" spans="1:4" ht="14.25" customHeight="1">
      <c r="A28" s="84" t="s">
        <v>86</v>
      </c>
      <c r="B28" s="74"/>
      <c r="C28" s="38">
        <f t="shared" ref="C28:D28" si="1">C27/5</f>
        <v>1</v>
      </c>
      <c r="D28" s="38">
        <f t="shared" si="1"/>
        <v>0</v>
      </c>
    </row>
    <row r="29" spans="1:4" ht="14.25" customHeight="1">
      <c r="A29" s="36"/>
      <c r="B29" s="36"/>
      <c r="C29" s="38"/>
      <c r="D29" s="37"/>
    </row>
    <row r="30" spans="1:4" ht="14.25" customHeight="1">
      <c r="A30" s="85" t="s">
        <v>93</v>
      </c>
      <c r="B30" s="74"/>
      <c r="C30" s="74"/>
      <c r="D30" s="74"/>
    </row>
    <row r="31" spans="1:4" ht="14.25" customHeight="1">
      <c r="A31" s="39" t="s">
        <v>69</v>
      </c>
      <c r="B31" s="40" t="s">
        <v>72</v>
      </c>
      <c r="C31" s="41" t="s">
        <v>73</v>
      </c>
      <c r="D31" s="42" t="s">
        <v>74</v>
      </c>
    </row>
    <row r="32" spans="1:4" ht="27.75" customHeight="1">
      <c r="A32" s="29">
        <v>1</v>
      </c>
      <c r="B32" s="30" t="s">
        <v>94</v>
      </c>
      <c r="D32" s="35" t="s">
        <v>76</v>
      </c>
    </row>
    <row r="33" spans="1:4" ht="27.75" customHeight="1">
      <c r="A33" s="29">
        <v>2</v>
      </c>
      <c r="B33" s="30" t="s">
        <v>95</v>
      </c>
      <c r="C33" s="35"/>
      <c r="D33" s="35" t="s">
        <v>76</v>
      </c>
    </row>
    <row r="34" spans="1:4" ht="27.75" customHeight="1">
      <c r="A34" s="33">
        <v>3</v>
      </c>
      <c r="B34" s="34" t="s">
        <v>96</v>
      </c>
      <c r="C34" s="35" t="s">
        <v>76</v>
      </c>
      <c r="D34" s="35"/>
    </row>
    <row r="35" spans="1:4" ht="14.25" customHeight="1">
      <c r="A35" s="84" t="s">
        <v>85</v>
      </c>
      <c r="B35" s="74"/>
      <c r="C35" s="9">
        <f>COUNTA('LISTA COMPROBACION RF-2'!$C$32:$C$34)</f>
        <v>1</v>
      </c>
      <c r="D35" s="9">
        <f>COUNTA('LISTA COMPROBACION RF-2'!$D$32:$D$34)</f>
        <v>2</v>
      </c>
    </row>
    <row r="36" spans="1:4" ht="14.25" customHeight="1">
      <c r="A36" s="84" t="s">
        <v>86</v>
      </c>
      <c r="B36" s="74"/>
      <c r="C36" s="38">
        <f t="shared" ref="C36:D36" si="2">C35/3</f>
        <v>0.33333333333333331</v>
      </c>
      <c r="D36" s="38">
        <f t="shared" si="2"/>
        <v>0.66666666666666663</v>
      </c>
    </row>
    <row r="37" spans="1:4" ht="14.25" customHeight="1"/>
    <row r="38" spans="1:4" ht="14.25" customHeight="1"/>
    <row r="39" spans="1:4" ht="14.25" customHeight="1"/>
    <row r="40" spans="1:4" ht="14.25" customHeight="1">
      <c r="A40" s="86" t="s">
        <v>97</v>
      </c>
      <c r="B40" s="74"/>
      <c r="C40" s="74"/>
    </row>
    <row r="41" spans="1:4" ht="30" customHeight="1">
      <c r="B41" s="23" t="s">
        <v>98</v>
      </c>
      <c r="C41" s="37">
        <v>78</v>
      </c>
    </row>
    <row r="42" spans="1:4" ht="30" customHeight="1">
      <c r="B42" s="23" t="s">
        <v>87</v>
      </c>
      <c r="C42" s="37">
        <v>100</v>
      </c>
    </row>
    <row r="43" spans="1:4" ht="30" customHeight="1">
      <c r="B43" s="23" t="s">
        <v>93</v>
      </c>
      <c r="C43" s="37">
        <v>33</v>
      </c>
    </row>
    <row r="44" spans="1:4" ht="14.25" customHeight="1">
      <c r="C44" s="37"/>
    </row>
    <row r="45" spans="1:4" ht="14.25" customHeight="1">
      <c r="C45" s="37"/>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D8:D16 D32:D34 D22:D26">
    <cfRule type="containsText" dxfId="6" priority="1" operator="containsText" text="X">
      <formula>NOT(ISERROR(SEARCH(("X"),(D8))))</formula>
    </cfRule>
  </conditionalFormatting>
  <conditionalFormatting sqref="C8:C16 C22:C26 C32:C34">
    <cfRule type="containsText" dxfId="5" priority="2" operator="containsText" text="X">
      <formula>NOT(ISERROR(SEARCH(("X"),(C8))))</formula>
    </cfRule>
  </conditionalFormatting>
  <conditionalFormatting sqref="C22:D26">
    <cfRule type="containsText" dxfId="4" priority="3" operator="containsText" text="X">
      <formula>NOT(ISERROR(SEARCH(("X"),(C22))))</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4" workbookViewId="0"/>
  </sheetViews>
  <sheetFormatPr baseColWidth="10" defaultColWidth="14.44140625" defaultRowHeight="15" customHeight="1"/>
  <cols>
    <col min="1" max="1" width="10.6640625" customWidth="1"/>
    <col min="2" max="2" width="39.6640625" customWidth="1"/>
    <col min="3" max="3" width="16.109375" customWidth="1"/>
    <col min="4" max="4" width="24" customWidth="1"/>
    <col min="5" max="24" width="10.6640625" customWidth="1"/>
  </cols>
  <sheetData>
    <row r="1" spans="1:26" ht="51" customHeight="1">
      <c r="A1" s="23"/>
      <c r="B1" s="24" t="s">
        <v>1</v>
      </c>
      <c r="C1" s="87" t="s">
        <v>2</v>
      </c>
      <c r="D1" s="74"/>
      <c r="E1" s="23"/>
      <c r="F1" s="23"/>
      <c r="G1" s="23"/>
      <c r="H1" s="23"/>
      <c r="I1" s="23"/>
      <c r="J1" s="23"/>
      <c r="K1" s="23"/>
      <c r="L1" s="23"/>
      <c r="M1" s="23"/>
      <c r="N1" s="23"/>
      <c r="O1" s="23"/>
      <c r="P1" s="23"/>
      <c r="Q1" s="23"/>
      <c r="R1" s="23"/>
      <c r="S1" s="23"/>
      <c r="T1" s="23"/>
      <c r="U1" s="23"/>
      <c r="V1" s="23"/>
      <c r="W1" s="23"/>
      <c r="X1" s="23"/>
      <c r="Y1" s="23"/>
      <c r="Z1" s="23"/>
    </row>
    <row r="2" spans="1:26" ht="14.25" customHeight="1">
      <c r="B2" s="25" t="s">
        <v>63</v>
      </c>
      <c r="C2" s="88">
        <v>46296</v>
      </c>
      <c r="D2" s="74"/>
    </row>
    <row r="3" spans="1:26" ht="14.25" customHeight="1">
      <c r="B3" s="25" t="s">
        <v>64</v>
      </c>
      <c r="C3" s="89" t="s">
        <v>65</v>
      </c>
      <c r="D3" s="74"/>
    </row>
    <row r="4" spans="1:26" ht="14.25" customHeight="1">
      <c r="B4" s="25" t="s">
        <v>66</v>
      </c>
      <c r="C4" s="92" t="s">
        <v>9</v>
      </c>
      <c r="D4" s="74"/>
    </row>
    <row r="5" spans="1:26" ht="14.25" customHeight="1"/>
    <row r="6" spans="1:26" ht="14.25" customHeight="1">
      <c r="A6" s="85" t="s">
        <v>68</v>
      </c>
      <c r="B6" s="74"/>
      <c r="C6" s="74"/>
      <c r="D6" s="74"/>
    </row>
    <row r="7" spans="1:26" ht="15" customHeight="1">
      <c r="A7" s="26" t="s">
        <v>69</v>
      </c>
      <c r="B7" s="27" t="s">
        <v>72</v>
      </c>
      <c r="C7" s="27" t="s">
        <v>73</v>
      </c>
      <c r="D7" s="28" t="s">
        <v>74</v>
      </c>
    </row>
    <row r="8" spans="1:26" ht="14.25" customHeight="1">
      <c r="A8" s="29">
        <v>1</v>
      </c>
      <c r="B8" s="30" t="s">
        <v>75</v>
      </c>
      <c r="C8" s="31" t="s">
        <v>76</v>
      </c>
      <c r="D8" s="32"/>
    </row>
    <row r="9" spans="1:26" ht="14.25" customHeight="1">
      <c r="A9" s="29">
        <v>2</v>
      </c>
      <c r="B9" s="30" t="s">
        <v>77</v>
      </c>
      <c r="C9" s="32"/>
      <c r="D9" s="31" t="s">
        <v>76</v>
      </c>
    </row>
    <row r="10" spans="1:26" ht="14.25" customHeight="1">
      <c r="A10" s="29">
        <v>3</v>
      </c>
      <c r="B10" s="30" t="s">
        <v>78</v>
      </c>
      <c r="C10" s="32"/>
      <c r="D10" s="31" t="s">
        <v>76</v>
      </c>
    </row>
    <row r="11" spans="1:26" ht="14.25" customHeight="1">
      <c r="A11" s="29">
        <v>4</v>
      </c>
      <c r="B11" s="30" t="s">
        <v>79</v>
      </c>
      <c r="C11" s="31" t="s">
        <v>76</v>
      </c>
      <c r="D11" s="32"/>
    </row>
    <row r="12" spans="1:26" ht="14.25" customHeight="1">
      <c r="A12" s="29">
        <v>5</v>
      </c>
      <c r="B12" s="30" t="s">
        <v>80</v>
      </c>
      <c r="C12" s="31" t="s">
        <v>76</v>
      </c>
      <c r="D12" s="32"/>
    </row>
    <row r="13" spans="1:26" ht="14.25" customHeight="1">
      <c r="A13" s="29">
        <v>6</v>
      </c>
      <c r="B13" s="30" t="s">
        <v>81</v>
      </c>
      <c r="C13" s="31" t="s">
        <v>76</v>
      </c>
      <c r="D13" s="32"/>
    </row>
    <row r="14" spans="1:26" ht="14.25" customHeight="1">
      <c r="A14" s="29">
        <v>7</v>
      </c>
      <c r="B14" s="30" t="s">
        <v>82</v>
      </c>
      <c r="C14" s="31" t="s">
        <v>76</v>
      </c>
      <c r="D14" s="32"/>
    </row>
    <row r="15" spans="1:26" ht="14.25" customHeight="1">
      <c r="A15" s="29">
        <v>8</v>
      </c>
      <c r="B15" s="30" t="s">
        <v>83</v>
      </c>
      <c r="C15" s="31" t="s">
        <v>76</v>
      </c>
      <c r="D15" s="32"/>
    </row>
    <row r="16" spans="1:26" ht="14.25" customHeight="1">
      <c r="A16" s="33">
        <v>9</v>
      </c>
      <c r="B16" s="34" t="s">
        <v>84</v>
      </c>
      <c r="C16" s="35"/>
      <c r="D16" s="35" t="s">
        <v>76</v>
      </c>
    </row>
    <row r="17" spans="1:4" ht="14.25" customHeight="1">
      <c r="A17" s="84" t="s">
        <v>85</v>
      </c>
      <c r="B17" s="74"/>
      <c r="C17" s="37">
        <f>COUNTA('LISTA COMPROBACION RF-4'!$C$8:$C$16)</f>
        <v>6</v>
      </c>
      <c r="D17" s="37">
        <f>COUNTA('LISTA COMPROBACION RF-4'!$D$8:$D$16)</f>
        <v>3</v>
      </c>
    </row>
    <row r="18" spans="1:4" ht="14.25" customHeight="1">
      <c r="A18" s="84" t="s">
        <v>86</v>
      </c>
      <c r="B18" s="74"/>
      <c r="C18" s="38">
        <f t="shared" ref="C18:D18" si="0">C17/9</f>
        <v>0.66666666666666663</v>
      </c>
      <c r="D18" s="38">
        <f t="shared" si="0"/>
        <v>0.33333333333333331</v>
      </c>
    </row>
    <row r="19" spans="1:4" ht="14.25" customHeight="1">
      <c r="A19" s="36"/>
      <c r="B19" s="36"/>
      <c r="C19" s="38"/>
      <c r="D19" s="37"/>
    </row>
    <row r="20" spans="1:4" ht="14.25" customHeight="1">
      <c r="A20" s="90" t="s">
        <v>87</v>
      </c>
      <c r="B20" s="91"/>
      <c r="C20" s="91"/>
      <c r="D20" s="91"/>
    </row>
    <row r="21" spans="1:4" ht="14.25" customHeight="1">
      <c r="A21" s="39" t="s">
        <v>69</v>
      </c>
      <c r="B21" s="40" t="s">
        <v>72</v>
      </c>
      <c r="C21" s="41" t="s">
        <v>73</v>
      </c>
      <c r="D21" s="42" t="s">
        <v>74</v>
      </c>
    </row>
    <row r="22" spans="1:4" ht="14.25" customHeight="1">
      <c r="A22" s="29">
        <v>1</v>
      </c>
      <c r="B22" s="30" t="s">
        <v>88</v>
      </c>
      <c r="C22" s="35" t="s">
        <v>76</v>
      </c>
      <c r="D22" s="32"/>
    </row>
    <row r="23" spans="1:4" ht="14.25" customHeight="1">
      <c r="A23" s="29">
        <v>2</v>
      </c>
      <c r="B23" s="30" t="s">
        <v>89</v>
      </c>
      <c r="C23" s="35" t="s">
        <v>76</v>
      </c>
      <c r="D23" s="32"/>
    </row>
    <row r="24" spans="1:4" ht="14.25" customHeight="1">
      <c r="A24" s="29">
        <v>3</v>
      </c>
      <c r="B24" s="30" t="s">
        <v>90</v>
      </c>
      <c r="C24" s="43"/>
      <c r="D24" s="35" t="s">
        <v>76</v>
      </c>
    </row>
    <row r="25" spans="1:4" ht="14.25" customHeight="1">
      <c r="A25" s="29">
        <v>4</v>
      </c>
      <c r="B25" s="30" t="s">
        <v>91</v>
      </c>
      <c r="C25" s="35" t="s">
        <v>76</v>
      </c>
      <c r="D25" s="32"/>
    </row>
    <row r="26" spans="1:4" ht="14.25" customHeight="1">
      <c r="A26" s="33">
        <v>5</v>
      </c>
      <c r="B26" s="34" t="s">
        <v>92</v>
      </c>
      <c r="C26" s="35" t="s">
        <v>76</v>
      </c>
      <c r="D26" s="43"/>
    </row>
    <row r="27" spans="1:4" ht="14.25" customHeight="1">
      <c r="A27" s="84" t="s">
        <v>85</v>
      </c>
      <c r="B27" s="74"/>
      <c r="C27" s="37">
        <f>COUNTA('LISTA COMPROBACION RF-4'!$C$22:$C$26)</f>
        <v>4</v>
      </c>
      <c r="D27" s="37">
        <f>COUNTA('LISTA COMPROBACION RF-4'!$D$22:$D$26)</f>
        <v>1</v>
      </c>
    </row>
    <row r="28" spans="1:4" ht="14.25" customHeight="1">
      <c r="A28" s="84" t="s">
        <v>86</v>
      </c>
      <c r="B28" s="74"/>
      <c r="C28" s="38">
        <f t="shared" ref="C28:D28" si="1">C27/5</f>
        <v>0.8</v>
      </c>
      <c r="D28" s="38">
        <f t="shared" si="1"/>
        <v>0.2</v>
      </c>
    </row>
    <row r="29" spans="1:4" ht="14.25" customHeight="1">
      <c r="A29" s="36"/>
      <c r="B29" s="36"/>
      <c r="C29" s="38"/>
      <c r="D29" s="37"/>
    </row>
    <row r="30" spans="1:4" ht="14.25" customHeight="1">
      <c r="A30" s="85" t="s">
        <v>93</v>
      </c>
      <c r="B30" s="74"/>
      <c r="C30" s="74"/>
      <c r="D30" s="74"/>
    </row>
    <row r="31" spans="1:4" ht="14.25" customHeight="1">
      <c r="A31" s="39" t="s">
        <v>69</v>
      </c>
      <c r="B31" s="40" t="s">
        <v>72</v>
      </c>
      <c r="C31" s="41" t="s">
        <v>73</v>
      </c>
      <c r="D31" s="42" t="s">
        <v>74</v>
      </c>
    </row>
    <row r="32" spans="1:4" ht="14.25" customHeight="1">
      <c r="A32" s="29">
        <v>1</v>
      </c>
      <c r="B32" s="30" t="s">
        <v>94</v>
      </c>
      <c r="C32" s="35" t="s">
        <v>76</v>
      </c>
      <c r="D32" s="35"/>
    </row>
    <row r="33" spans="1:4" ht="14.25" customHeight="1">
      <c r="A33" s="29">
        <v>2</v>
      </c>
      <c r="B33" s="30" t="s">
        <v>95</v>
      </c>
      <c r="C33" s="35" t="s">
        <v>76</v>
      </c>
      <c r="D33" s="35"/>
    </row>
    <row r="34" spans="1:4" ht="14.25" customHeight="1">
      <c r="A34" s="33">
        <v>3</v>
      </c>
      <c r="B34" s="34" t="s">
        <v>96</v>
      </c>
      <c r="C34" s="35" t="s">
        <v>76</v>
      </c>
      <c r="D34" s="35"/>
    </row>
    <row r="35" spans="1:4" ht="14.25" customHeight="1">
      <c r="A35" s="84" t="s">
        <v>85</v>
      </c>
      <c r="B35" s="74"/>
      <c r="C35" s="9">
        <f>COUNTA('LISTA COMPROBACION RF-4'!$C$32:$C$34)</f>
        <v>3</v>
      </c>
      <c r="D35" s="9">
        <f>COUNTA('LISTA COMPROBACION RF-4'!$D$32:$D$34)</f>
        <v>0</v>
      </c>
    </row>
    <row r="36" spans="1:4" ht="14.25" customHeight="1">
      <c r="A36" s="84" t="s">
        <v>86</v>
      </c>
      <c r="B36" s="74"/>
      <c r="C36" s="38">
        <f t="shared" ref="C36:D36" si="2">C35/3</f>
        <v>1</v>
      </c>
      <c r="D36" s="38">
        <f t="shared" si="2"/>
        <v>0</v>
      </c>
    </row>
    <row r="37" spans="1:4" ht="14.25" customHeight="1"/>
    <row r="38" spans="1:4" ht="14.25" customHeight="1"/>
    <row r="39" spans="1:4" ht="14.25" customHeight="1"/>
    <row r="40" spans="1:4" ht="14.25" customHeight="1">
      <c r="A40" s="86" t="s">
        <v>97</v>
      </c>
      <c r="B40" s="74"/>
      <c r="C40" s="74"/>
    </row>
    <row r="41" spans="1:4" ht="30" customHeight="1">
      <c r="B41" s="23" t="s">
        <v>98</v>
      </c>
      <c r="C41" s="45">
        <v>67</v>
      </c>
    </row>
    <row r="42" spans="1:4" ht="30" customHeight="1">
      <c r="B42" s="23" t="s">
        <v>87</v>
      </c>
      <c r="C42" s="45">
        <v>80</v>
      </c>
    </row>
    <row r="43" spans="1:4" ht="30" customHeight="1">
      <c r="B43" s="23" t="s">
        <v>93</v>
      </c>
      <c r="C43" s="45">
        <v>100</v>
      </c>
    </row>
    <row r="44" spans="1:4" ht="14.25" customHeight="1">
      <c r="C44" s="37"/>
    </row>
    <row r="45" spans="1:4" ht="14.25" customHeight="1">
      <c r="C45" s="37"/>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D8:D16 D22:D26 D32:D34">
    <cfRule type="containsText" dxfId="3" priority="1" operator="containsText" text="X">
      <formula>NOT(ISERROR(SEARCH(("X"),(D8))))</formula>
    </cfRule>
  </conditionalFormatting>
  <conditionalFormatting sqref="C8:C16 C22:C26 C32:C34">
    <cfRule type="containsText" dxfId="2" priority="2" operator="containsText" text="X">
      <formula>NOT(ISERROR(SEARCH(("X"),(C8))))</formula>
    </cfRule>
  </conditionalFormatting>
  <pageMargins left="0.7" right="0.7" top="0.75" bottom="0.75" header="0" footer="0"/>
  <pageSetup paperSize="9" orientation="portrait"/>
  <drawing r:id="rId1"/>
  <legacyDrawing r:id="rId2"/>
  <tableParts count="3">
    <tablePart r:id="rId3"/>
    <tablePart r:id="rId4"/>
    <tablePart r:id="rId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10" workbookViewId="0"/>
  </sheetViews>
  <sheetFormatPr baseColWidth="10" defaultColWidth="14.44140625" defaultRowHeight="15" customHeight="1"/>
  <cols>
    <col min="1" max="1" width="10.6640625" customWidth="1"/>
    <col min="2" max="2" width="40.5546875" customWidth="1"/>
    <col min="3" max="3" width="16.109375" customWidth="1"/>
    <col min="4" max="4" width="34.6640625" customWidth="1"/>
    <col min="5" max="24" width="10.6640625" customWidth="1"/>
  </cols>
  <sheetData>
    <row r="1" spans="1:26" ht="16.5" customHeight="1">
      <c r="A1" s="23"/>
      <c r="B1" s="24" t="s">
        <v>1</v>
      </c>
      <c r="C1" s="87" t="s">
        <v>2</v>
      </c>
      <c r="D1" s="74"/>
      <c r="E1" s="23"/>
      <c r="F1" s="23"/>
      <c r="G1" s="23"/>
      <c r="H1" s="23"/>
      <c r="I1" s="23"/>
      <c r="J1" s="23"/>
      <c r="K1" s="23"/>
      <c r="L1" s="23"/>
      <c r="M1" s="23"/>
      <c r="N1" s="23"/>
      <c r="O1" s="23"/>
      <c r="P1" s="23"/>
      <c r="Q1" s="23"/>
      <c r="R1" s="23"/>
      <c r="S1" s="23"/>
      <c r="T1" s="23"/>
      <c r="U1" s="23"/>
      <c r="V1" s="23"/>
      <c r="W1" s="23"/>
      <c r="X1" s="23"/>
      <c r="Y1" s="23"/>
      <c r="Z1" s="23"/>
    </row>
    <row r="2" spans="1:26" ht="14.25" customHeight="1">
      <c r="B2" s="25" t="s">
        <v>63</v>
      </c>
      <c r="C2" s="88">
        <v>46296</v>
      </c>
      <c r="D2" s="74"/>
    </row>
    <row r="3" spans="1:26" ht="14.25" customHeight="1">
      <c r="B3" s="25" t="s">
        <v>64</v>
      </c>
      <c r="C3" s="89" t="s">
        <v>105</v>
      </c>
      <c r="D3" s="74"/>
    </row>
    <row r="4" spans="1:26" ht="14.25" customHeight="1">
      <c r="B4" s="25" t="s">
        <v>66</v>
      </c>
      <c r="C4" s="93" t="s">
        <v>106</v>
      </c>
      <c r="D4" s="74"/>
    </row>
    <row r="5" spans="1:26" ht="14.25" customHeight="1"/>
    <row r="6" spans="1:26" ht="14.25" customHeight="1">
      <c r="A6" s="85" t="s">
        <v>68</v>
      </c>
      <c r="B6" s="74"/>
      <c r="C6" s="74"/>
      <c r="D6" s="74"/>
    </row>
    <row r="7" spans="1:26" ht="15" customHeight="1">
      <c r="A7" s="26" t="s">
        <v>69</v>
      </c>
      <c r="B7" s="27" t="s">
        <v>72</v>
      </c>
      <c r="C7" s="27" t="s">
        <v>73</v>
      </c>
      <c r="D7" s="28" t="s">
        <v>74</v>
      </c>
    </row>
    <row r="8" spans="1:26" ht="14.25" customHeight="1">
      <c r="A8" s="29">
        <v>1</v>
      </c>
      <c r="B8" s="30" t="s">
        <v>75</v>
      </c>
      <c r="C8" s="31" t="s">
        <v>76</v>
      </c>
      <c r="D8" s="32"/>
    </row>
    <row r="9" spans="1:26" ht="14.25" customHeight="1">
      <c r="A9" s="29">
        <v>2</v>
      </c>
      <c r="B9" s="30" t="s">
        <v>77</v>
      </c>
      <c r="C9" s="31"/>
      <c r="D9" s="44" t="s">
        <v>76</v>
      </c>
    </row>
    <row r="10" spans="1:26" ht="14.25" customHeight="1">
      <c r="A10" s="29">
        <v>3</v>
      </c>
      <c r="B10" s="30" t="s">
        <v>78</v>
      </c>
      <c r="C10" s="31" t="s">
        <v>76</v>
      </c>
      <c r="D10" s="32"/>
    </row>
    <row r="11" spans="1:26" ht="14.25" customHeight="1">
      <c r="A11" s="29">
        <v>4</v>
      </c>
      <c r="B11" s="30" t="s">
        <v>79</v>
      </c>
      <c r="C11" s="31" t="s">
        <v>76</v>
      </c>
      <c r="D11" s="32"/>
    </row>
    <row r="12" spans="1:26" ht="14.25" customHeight="1">
      <c r="A12" s="29">
        <v>5</v>
      </c>
      <c r="B12" s="30" t="s">
        <v>80</v>
      </c>
      <c r="C12" s="31" t="s">
        <v>76</v>
      </c>
      <c r="D12" s="32"/>
    </row>
    <row r="13" spans="1:26" ht="14.25" customHeight="1">
      <c r="A13" s="29">
        <v>6</v>
      </c>
      <c r="B13" s="30" t="s">
        <v>81</v>
      </c>
      <c r="C13" s="31" t="s">
        <v>76</v>
      </c>
      <c r="D13" s="32"/>
    </row>
    <row r="14" spans="1:26" ht="14.25" customHeight="1">
      <c r="A14" s="29">
        <v>7</v>
      </c>
      <c r="B14" s="30" t="s">
        <v>82</v>
      </c>
      <c r="C14" s="52" t="s">
        <v>76</v>
      </c>
      <c r="D14" s="31"/>
    </row>
    <row r="15" spans="1:26" ht="14.25" customHeight="1">
      <c r="A15" s="29">
        <v>8</v>
      </c>
      <c r="B15" s="30" t="s">
        <v>83</v>
      </c>
      <c r="C15" s="31" t="s">
        <v>76</v>
      </c>
      <c r="D15" s="32"/>
    </row>
    <row r="16" spans="1:26" ht="14.25" customHeight="1">
      <c r="A16" s="33">
        <v>9</v>
      </c>
      <c r="B16" s="34" t="s">
        <v>84</v>
      </c>
      <c r="C16" s="53" t="s">
        <v>76</v>
      </c>
      <c r="D16" s="35"/>
    </row>
    <row r="17" spans="1:4" ht="14.25" customHeight="1">
      <c r="A17" s="84" t="s">
        <v>85</v>
      </c>
      <c r="B17" s="74"/>
      <c r="C17" s="37">
        <f>COUNTA('LISTA COMPROBACION RF-8'!$C$8:$C$16)</f>
        <v>8</v>
      </c>
      <c r="D17" s="37">
        <f>COUNTA('LISTA COMPROBACION RF-8'!$D$8:$D$16)</f>
        <v>1</v>
      </c>
    </row>
    <row r="18" spans="1:4" ht="14.25" customHeight="1">
      <c r="A18" s="84" t="s">
        <v>86</v>
      </c>
      <c r="B18" s="74"/>
      <c r="C18" s="38">
        <f t="shared" ref="C18:D18" si="0">C17/9</f>
        <v>0.88888888888888884</v>
      </c>
      <c r="D18" s="38">
        <f t="shared" si="0"/>
        <v>0.1111111111111111</v>
      </c>
    </row>
    <row r="19" spans="1:4" ht="14.25" customHeight="1">
      <c r="A19" s="36"/>
      <c r="B19" s="36"/>
      <c r="C19" s="38"/>
      <c r="D19" s="37"/>
    </row>
    <row r="20" spans="1:4" ht="14.25" customHeight="1">
      <c r="A20" s="90" t="s">
        <v>87</v>
      </c>
      <c r="B20" s="91"/>
      <c r="C20" s="91"/>
      <c r="D20" s="91"/>
    </row>
    <row r="21" spans="1:4" ht="14.25" customHeight="1">
      <c r="A21" s="39" t="s">
        <v>69</v>
      </c>
      <c r="B21" s="40" t="s">
        <v>72</v>
      </c>
      <c r="C21" s="41" t="s">
        <v>73</v>
      </c>
      <c r="D21" s="42" t="s">
        <v>74</v>
      </c>
    </row>
    <row r="22" spans="1:4" ht="14.25" customHeight="1">
      <c r="A22" s="29">
        <v>1</v>
      </c>
      <c r="B22" s="30" t="s">
        <v>88</v>
      </c>
      <c r="C22" s="35" t="s">
        <v>76</v>
      </c>
      <c r="D22" s="32"/>
    </row>
    <row r="23" spans="1:4" ht="14.25" customHeight="1">
      <c r="A23" s="29">
        <v>2</v>
      </c>
      <c r="B23" s="30" t="s">
        <v>89</v>
      </c>
      <c r="C23" s="35" t="s">
        <v>76</v>
      </c>
      <c r="D23" s="32"/>
    </row>
    <row r="24" spans="1:4" ht="14.25" customHeight="1">
      <c r="A24" s="29">
        <v>3</v>
      </c>
      <c r="B24" s="30" t="s">
        <v>90</v>
      </c>
      <c r="C24" s="35" t="s">
        <v>76</v>
      </c>
      <c r="D24" s="32"/>
    </row>
    <row r="25" spans="1:4" ht="14.25" customHeight="1">
      <c r="A25" s="29">
        <v>4</v>
      </c>
      <c r="B25" s="30" t="s">
        <v>91</v>
      </c>
      <c r="C25" s="35" t="s">
        <v>76</v>
      </c>
      <c r="D25" s="32"/>
    </row>
    <row r="26" spans="1:4" ht="14.25" customHeight="1">
      <c r="A26" s="33">
        <v>5</v>
      </c>
      <c r="B26" s="34" t="s">
        <v>92</v>
      </c>
      <c r="C26" s="35" t="s">
        <v>76</v>
      </c>
      <c r="D26" s="43"/>
    </row>
    <row r="27" spans="1:4" ht="14.25" customHeight="1">
      <c r="A27" s="84" t="s">
        <v>85</v>
      </c>
      <c r="B27" s="74"/>
      <c r="C27" s="37">
        <f>COUNTA('LISTA COMPROBACION RF-8'!$C$22:$C$26)</f>
        <v>5</v>
      </c>
      <c r="D27" s="37">
        <f>COUNTA('LISTA COMPROBACION RF-8'!$D$22:$D$26)</f>
        <v>0</v>
      </c>
    </row>
    <row r="28" spans="1:4" ht="14.25" customHeight="1">
      <c r="A28" s="84" t="s">
        <v>86</v>
      </c>
      <c r="B28" s="74"/>
      <c r="C28" s="38">
        <f t="shared" ref="C28:D28" si="1">C27/5</f>
        <v>1</v>
      </c>
      <c r="D28" s="38">
        <f t="shared" si="1"/>
        <v>0</v>
      </c>
    </row>
    <row r="29" spans="1:4" ht="14.25" customHeight="1">
      <c r="A29" s="36"/>
      <c r="B29" s="36"/>
      <c r="C29" s="38"/>
      <c r="D29" s="37"/>
    </row>
    <row r="30" spans="1:4" ht="14.25" customHeight="1">
      <c r="A30" s="85" t="s">
        <v>93</v>
      </c>
      <c r="B30" s="74"/>
      <c r="C30" s="74"/>
      <c r="D30" s="74"/>
    </row>
    <row r="31" spans="1:4" ht="14.25" customHeight="1">
      <c r="A31" s="39" t="s">
        <v>69</v>
      </c>
      <c r="B31" s="40" t="s">
        <v>72</v>
      </c>
      <c r="C31" s="41" t="s">
        <v>73</v>
      </c>
      <c r="D31" s="42" t="s">
        <v>74</v>
      </c>
    </row>
    <row r="32" spans="1:4" ht="14.25" customHeight="1">
      <c r="A32" s="29">
        <v>1</v>
      </c>
      <c r="B32" s="30" t="s">
        <v>94</v>
      </c>
      <c r="C32" s="53" t="s">
        <v>76</v>
      </c>
      <c r="D32" s="35"/>
    </row>
    <row r="33" spans="1:4" ht="14.25" customHeight="1">
      <c r="A33" s="29">
        <v>2</v>
      </c>
      <c r="B33" s="30" t="s">
        <v>95</v>
      </c>
      <c r="C33" s="53" t="s">
        <v>76</v>
      </c>
      <c r="D33" s="35"/>
    </row>
    <row r="34" spans="1:4" ht="14.25" customHeight="1">
      <c r="A34" s="33">
        <v>3</v>
      </c>
      <c r="B34" s="34" t="s">
        <v>96</v>
      </c>
      <c r="C34" s="35" t="s">
        <v>76</v>
      </c>
      <c r="D34" s="35"/>
    </row>
    <row r="35" spans="1:4" ht="14.25" customHeight="1">
      <c r="A35" s="84" t="s">
        <v>85</v>
      </c>
      <c r="B35" s="74"/>
      <c r="C35" s="9">
        <f>COUNTA('LISTA COMPROBACION RF-8'!$C$32:$C$34)</f>
        <v>3</v>
      </c>
      <c r="D35" s="9">
        <f>COUNTA('LISTA COMPROBACION RF-8'!$D$32:$D$34)</f>
        <v>0</v>
      </c>
    </row>
    <row r="36" spans="1:4" ht="14.25" customHeight="1">
      <c r="A36" s="84" t="s">
        <v>86</v>
      </c>
      <c r="B36" s="74"/>
      <c r="C36" s="38">
        <f t="shared" ref="C36:D36" si="2">C35/3</f>
        <v>1</v>
      </c>
      <c r="D36" s="38">
        <f t="shared" si="2"/>
        <v>0</v>
      </c>
    </row>
    <row r="37" spans="1:4" ht="14.25" customHeight="1"/>
    <row r="38" spans="1:4" ht="14.25" customHeight="1"/>
    <row r="39" spans="1:4" ht="14.25" customHeight="1"/>
    <row r="40" spans="1:4" ht="14.25" customHeight="1">
      <c r="A40" s="86" t="s">
        <v>97</v>
      </c>
      <c r="B40" s="74"/>
      <c r="C40" s="74"/>
    </row>
    <row r="41" spans="1:4" ht="30" customHeight="1">
      <c r="B41" s="23" t="s">
        <v>98</v>
      </c>
      <c r="C41" s="45">
        <v>89</v>
      </c>
    </row>
    <row r="42" spans="1:4" ht="30" customHeight="1">
      <c r="B42" s="23" t="s">
        <v>87</v>
      </c>
      <c r="C42" s="37">
        <v>100</v>
      </c>
    </row>
    <row r="43" spans="1:4" ht="30" customHeight="1">
      <c r="B43" s="23" t="s">
        <v>93</v>
      </c>
      <c r="C43" s="45">
        <v>100</v>
      </c>
    </row>
    <row r="44" spans="1:4" ht="14.25" customHeight="1">
      <c r="C44" s="37"/>
    </row>
    <row r="45" spans="1:4" ht="14.25" customHeight="1">
      <c r="C45" s="37"/>
    </row>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36:B36"/>
    <mergeCell ref="A40:C40"/>
    <mergeCell ref="C1:D1"/>
    <mergeCell ref="C2:D2"/>
    <mergeCell ref="C3:D3"/>
    <mergeCell ref="C4:D4"/>
    <mergeCell ref="A6:D6"/>
    <mergeCell ref="A17:B17"/>
    <mergeCell ref="A20:D20"/>
    <mergeCell ref="A18:B18"/>
    <mergeCell ref="A27:B27"/>
    <mergeCell ref="A28:B28"/>
    <mergeCell ref="A30:D30"/>
    <mergeCell ref="A35:B35"/>
  </mergeCells>
  <conditionalFormatting sqref="D8:D16 D22:D26 D32:D34">
    <cfRule type="containsText" dxfId="1" priority="1" operator="containsText" text="X">
      <formula>NOT(ISERROR(SEARCH(("X"),(D8))))</formula>
    </cfRule>
  </conditionalFormatting>
  <conditionalFormatting sqref="C8:C16 C22:C26 C32:C34">
    <cfRule type="containsText" dxfId="0" priority="2" operator="containsText" text="X">
      <formula>NOT(ISERROR(SEARCH(("X"),(C8))))</formula>
    </cfRule>
  </conditionalFormatting>
  <pageMargins left="0.7" right="0.7" top="0.75" bottom="0.75" header="0" footer="0"/>
  <pageSetup paperSize="9" orientation="portrait"/>
  <drawing r:id="rId1"/>
  <tableParts count="3">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sheetViews>
  <sheetFormatPr baseColWidth="10" defaultColWidth="14.44140625" defaultRowHeight="15" customHeight="1"/>
  <cols>
    <col min="1" max="1" width="53.109375" customWidth="1"/>
    <col min="2" max="2" width="57.33203125" customWidth="1"/>
    <col min="3" max="6" width="10.6640625" customWidth="1"/>
  </cols>
  <sheetData>
    <row r="1" spans="1:2" ht="14.25" customHeight="1">
      <c r="A1" s="46" t="s">
        <v>99</v>
      </c>
      <c r="B1" s="46" t="s">
        <v>100</v>
      </c>
    </row>
    <row r="2" spans="1:2" ht="264.75" customHeight="1">
      <c r="A2" s="47" t="s">
        <v>101</v>
      </c>
      <c r="B2" s="47" t="s">
        <v>102</v>
      </c>
    </row>
    <row r="3" spans="1:2" ht="177.75" customHeight="1">
      <c r="A3" s="47" t="s">
        <v>103</v>
      </c>
      <c r="B3" s="47" t="s">
        <v>104</v>
      </c>
    </row>
    <row r="4" spans="1:2" ht="14.25" customHeight="1"/>
    <row r="5" spans="1:2" ht="14.25" customHeight="1"/>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00"/>
  <sheetViews>
    <sheetView workbookViewId="0"/>
  </sheetViews>
  <sheetFormatPr baseColWidth="10" defaultColWidth="14.44140625" defaultRowHeight="15" customHeight="1"/>
  <cols>
    <col min="1" max="1" width="53.5546875" customWidth="1"/>
    <col min="2" max="2" width="57.33203125" customWidth="1"/>
    <col min="3" max="6" width="10.6640625" customWidth="1"/>
  </cols>
  <sheetData>
    <row r="1" spans="1:2" ht="14.25" customHeight="1">
      <c r="A1" s="46" t="s">
        <v>99</v>
      </c>
      <c r="B1" s="46" t="s">
        <v>100</v>
      </c>
    </row>
    <row r="2" spans="1:2" ht="87.75" customHeight="1">
      <c r="A2" s="48" t="s">
        <v>107</v>
      </c>
      <c r="B2" s="49" t="s">
        <v>108</v>
      </c>
    </row>
    <row r="3" spans="1:2" ht="87.75" customHeight="1">
      <c r="A3" s="49" t="s">
        <v>109</v>
      </c>
      <c r="B3" s="49" t="s">
        <v>110</v>
      </c>
    </row>
    <row r="4" spans="1:2" ht="87.75" customHeight="1">
      <c r="A4" s="50" t="s">
        <v>111</v>
      </c>
      <c r="B4" s="49" t="s">
        <v>112</v>
      </c>
    </row>
    <row r="5" spans="1:2" ht="87.75" customHeight="1">
      <c r="A5" s="51" t="s">
        <v>113</v>
      </c>
      <c r="B5" s="51" t="s">
        <v>114</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00"/>
  <sheetViews>
    <sheetView topLeftCell="B1" workbookViewId="0"/>
  </sheetViews>
  <sheetFormatPr baseColWidth="10" defaultColWidth="14.44140625" defaultRowHeight="15" customHeight="1"/>
  <cols>
    <col min="1" max="1" width="87.44140625" customWidth="1"/>
    <col min="2" max="2" width="57.33203125" customWidth="1"/>
    <col min="3" max="6" width="10.6640625" customWidth="1"/>
  </cols>
  <sheetData>
    <row r="1" spans="1:2" ht="14.25" customHeight="1">
      <c r="A1" s="46" t="s">
        <v>99</v>
      </c>
      <c r="B1" s="46" t="s">
        <v>100</v>
      </c>
    </row>
    <row r="2" spans="1:2" ht="69.75" customHeight="1">
      <c r="A2" s="55" t="s">
        <v>115</v>
      </c>
      <c r="B2" s="57" t="s">
        <v>117</v>
      </c>
    </row>
    <row r="3" spans="1:2" ht="48" customHeight="1">
      <c r="A3" s="59" t="s">
        <v>119</v>
      </c>
      <c r="B3" s="61" t="s">
        <v>121</v>
      </c>
    </row>
    <row r="4" spans="1:2" ht="46.5" customHeight="1">
      <c r="A4" s="63" t="s">
        <v>123</v>
      </c>
      <c r="B4" s="65" t="s">
        <v>124</v>
      </c>
    </row>
    <row r="5" spans="1:2" ht="14.25" customHeight="1">
      <c r="A5" s="67" t="s">
        <v>125</v>
      </c>
      <c r="B5" s="69" t="s">
        <v>126</v>
      </c>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baseColWidth="10" defaultColWidth="14.44140625" defaultRowHeight="15" customHeight="1"/>
  <cols>
    <col min="1" max="1" width="54.109375" customWidth="1"/>
    <col min="2" max="2" width="103" customWidth="1"/>
    <col min="3" max="6" width="10.6640625" customWidth="1"/>
  </cols>
  <sheetData>
    <row r="1" spans="1:2" ht="14.25" customHeight="1">
      <c r="A1" s="54" t="s">
        <v>99</v>
      </c>
      <c r="B1" s="54" t="s">
        <v>100</v>
      </c>
    </row>
    <row r="2" spans="1:2" ht="124.5" customHeight="1">
      <c r="A2" s="56" t="s">
        <v>116</v>
      </c>
      <c r="B2" s="58" t="s">
        <v>118</v>
      </c>
    </row>
    <row r="3" spans="1:2" ht="129" customHeight="1">
      <c r="A3" s="56" t="s">
        <v>120</v>
      </c>
      <c r="B3" s="60" t="s">
        <v>122</v>
      </c>
    </row>
    <row r="4" spans="1:2" ht="14.25" customHeight="1">
      <c r="A4" s="62"/>
      <c r="B4" s="64"/>
    </row>
    <row r="5" spans="1:2" ht="14.25" customHeight="1">
      <c r="A5" s="66"/>
      <c r="B5" s="68"/>
    </row>
    <row r="6" spans="1:2" ht="14.25" customHeight="1"/>
    <row r="7" spans="1:2" ht="14.25" customHeight="1"/>
    <row r="8" spans="1:2" ht="14.25" customHeight="1"/>
    <row r="9" spans="1:2" ht="14.25" customHeight="1"/>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Matriz Ckeck LIst</vt:lpstr>
      <vt:lpstr>LISTA COMPROBACION RF-1</vt:lpstr>
      <vt:lpstr>LISTA COMPROBACION RF-2</vt:lpstr>
      <vt:lpstr>LISTA COMPROBACION RF-4</vt:lpstr>
      <vt:lpstr>LISTA COMPROBACION RF-8</vt:lpstr>
      <vt:lpstr>RECOMENDACIONES - RF-1</vt:lpstr>
      <vt:lpstr>RECOMENDACIONES - RF-2</vt:lpstr>
      <vt:lpstr>RECOMENDACIONES - RF-4</vt:lpstr>
      <vt:lpstr>RECOMENDACIONES - RF-8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Andy Conterón</cp:lastModifiedBy>
  <dcterms:modified xsi:type="dcterms:W3CDTF">2026-10-08T11:15:07Z</dcterms:modified>
</cp:coreProperties>
</file>
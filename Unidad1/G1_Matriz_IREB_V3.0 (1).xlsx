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LISTA COMPROBACION CU-1" sheetId="2" r:id="rId5"/>
    <sheet state="visible" name="LISTA COMPROBACION CU-2" sheetId="3" r:id="rId6"/>
    <sheet state="visible" name="LISTA COMPROBACION CU-3" sheetId="4" r:id="rId7"/>
    <sheet state="visible" name="LISTA COMPROBACION CU-4" sheetId="5" r:id="rId8"/>
    <sheet state="visible" name="LISTA COMPROBACION CU-5" sheetId="6" r:id="rId9"/>
    <sheet state="visible" name="LISTA COMPROBACION CU-6" sheetId="7" r:id="rId10"/>
    <sheet state="visible" name="LISTA COMPROBACION CU-7" sheetId="8" r:id="rId11"/>
    <sheet state="visible" name="LISTA COMPROBACION CU-8" sheetId="9" r:id="rId12"/>
    <sheet state="visible" name="RECOMENDACIONES - CU-1" sheetId="10" r:id="rId13"/>
    <sheet state="visible" name="RECOMENDACIONES - CU-2" sheetId="11" r:id="rId14"/>
    <sheet state="visible" name="RECOMENDACIONES - CU-3" sheetId="12" r:id="rId15"/>
    <sheet state="visible" name="RECOMENDACIONES - CU-4" sheetId="13" r:id="rId16"/>
    <sheet state="visible" name="RECOMENDACIONES - CU-5" sheetId="14" r:id="rId17"/>
    <sheet state="visible" name="RECOMENDACIONES - CU-6" sheetId="15" r:id="rId18"/>
    <sheet state="visible" name="RECOMENDACIONES - CU-7" sheetId="16" r:id="rId19"/>
    <sheet state="visible" name="RECOMENDACIONES - CU-8" sheetId="17" r:id="rId20"/>
  </sheets>
  <definedNames/>
  <calcPr/>
  <extLst>
    <ext uri="GoogleSheetsCustomDataVersion2">
      <go:sheetsCustomData xmlns:go="http://customooxmlschemas.google.com/" r:id="rId21" roundtripDataChecksum="hcspB1uBLuTnYqCxufWmuUrwZ6853lPjjVgq1iewvx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ID#AAACHzgJi7Q
jeny ruiz    (2026-10-01 15:14:50)
Control del nivel de acuedo entre las partes Cliente y Desarrollador</t>
      </text>
    </comment>
    <comment authorId="0" ref="J9">
      <text>
        <t xml:space="preserve">======
ID#AAACHzgJi84
jeny ruiz    (2026-10-01 15:14:50)
Es importante ingresar el archivo plano en formato excel para el cliente y el desarrollador</t>
      </text>
    </comment>
    <comment authorId="0" ref="H7">
      <text>
        <t xml:space="preserve">======
ID#AAACHzgJi7s
jeny ruiz    (2026-10-01 15:14:50)
Se guarda en un archivo Excel los registros que dieron un problema en la actualización.</t>
      </text>
    </comment>
    <comment authorId="0" ref="I7">
      <text>
        <t xml:space="preserve">======
ID#AAACHzgJi6o
jeny ruiz    (2026-10-01 15:14:50)
Control del nivel de acuedo entre las partes Cliente y Desarrollador</t>
      </text>
    </comment>
    <comment authorId="0" ref="J7">
      <text>
        <t xml:space="preserve">======
ID#AAACHzgJi7Y
jeny ruiz    (2026-10-01 15:14:50)
jeny ruiz:
Posterior a la actualización, se guardaran automáticamente el nombre de usuario, fecha, hora, registro antiguo, registro nuevo.</t>
      </text>
    </comment>
    <comment authorId="0" ref="C19">
      <text>
        <t xml:space="preserve">======
ID#AAACHzgJi9I
jeny ruiz    (2026-10-01 15:14:50)
Para todos los interesados dependiendo  de la fase del proyecto podrían estar involucrados  distintos implicados,(Glosario de tèrminos)</t>
      </text>
    </comment>
    <comment authorId="0" ref="C18">
      <text>
        <t xml:space="preserve">======
ID#AAACHzgJi8k
jeny ruiz    (2026-10-01 15:14:50)
Trata todos los asuntos relevantes</t>
      </text>
    </comment>
    <comment authorId="0" ref="C17">
      <text>
        <t xml:space="preserve">======
ID#AAACHzgJi6g
jeny ruiz    (2026-10-01 15:14:50)
El origen del requisito y sus relaciones con otros requisitos  están claros.</t>
      </text>
    </comment>
    <comment authorId="0" ref="C16">
      <text>
        <t xml:space="preserve">======
ID#AAACHzgJi74
jeny ruiz    (2026-10-01 15:14:50)
Puede ser implementado  y desarrollado en las condiciones actuales(tiempo, Presupuest,, orgtanizaciòn, ect)</t>
      </text>
    </comment>
    <comment authorId="0" ref="C15">
      <text>
        <t xml:space="preserve">======
ID#AAACHzgJi8s
jeny ruiz    (2026-10-01 15:14:50)
Su cumplimiento o no cumplimiento puede der probado con un esfuerzo razonable</t>
      </text>
    </comment>
    <comment authorId="0" ref="C14">
      <text>
        <t xml:space="preserve">======
ID#AAACHzgJi8Y
jeny ruiz    (2026-10-01 15:14:50)
Sin contradicciones</t>
      </text>
    </comment>
    <comment authorId="0" ref="C13">
      <text>
        <t xml:space="preserve">======
ID#AAACHzgJi9U
jeny ruiz    (2026-10-01 15:14:50)
Refleja las espectativas  del implicado</t>
      </text>
    </comment>
    <comment authorId="0" ref="C12">
      <text>
        <t xml:space="preserve">======
ID#AAACHzgJi8c
jeny ruiz    (2026-10-01 15:14:50)
Toda nueva información  ha sido incorporada</t>
      </text>
    </comment>
    <comment authorId="0" ref="C11">
      <text>
        <t xml:space="preserve">======
ID#AAACHzgJi70
jeny ruiz    (2026-10-01 15:14:50)
Todos los lectores comprenden de la misma manera, sólo una interpretación</t>
      </text>
    </comment>
    <comment authorId="0" ref="C10">
      <text>
        <t xml:space="preserve">======
ID#AAACHzgJi8g
jeny ruiz    (2026-10-01 15:14:50)
Ponderado por importancia o prioridad</t>
      </text>
    </comment>
    <comment authorId="0" ref="C9">
      <text>
        <t xml:space="preserve">======
ID#AAACHzgJi6c
jeny ruiz    (2026-10-01 15:14:50)
Todos los interesados reconocen que el  requisito es correcto y relevante</t>
      </text>
    </comment>
    <comment authorId="0" ref="F9">
      <text>
        <t xml:space="preserve">======
ID#AAACHzgJi7c
jeny ruiz    (2026-10-01 15:14:50)
Es importante ingresar el archivo plano en formato excel para el cliente y el desarrollador</t>
      </text>
    </comment>
    <comment authorId="0" ref="E7">
      <text>
        <t xml:space="preserve">======
ID#AAACHzgJi8Q
jeny ruiz    (2026-10-01 15:14:50)
Control del nivel de acuedo entre las partes Cliente y Desarrollador</t>
      </text>
    </comment>
    <comment authorId="0" ref="H9">
      <text>
        <t xml:space="preserve">======
ID#AAACHzgJi88
jeny ruiz    (2026-10-01 15:14:50)
Es importante ingresar el archivo plano en formato excel para el cliente y el desarrollador</t>
      </text>
    </comment>
    <comment authorId="0" ref="F7">
      <text>
        <t xml:space="preserve">======
ID#AAACHzgJi7w
jeny ruiz    (2026-10-01 15:14:50)
La información contenida en memoria se utiliza para actualizar los campos de la base de datos.</t>
      </text>
    </comment>
  </commentList>
  <extLst>
    <ext uri="GoogleSheetsCustomDataVersion2">
      <go:sheetsCustomData xmlns:go="http://customooxmlschemas.google.com/" r:id="rId1" roundtripDataSignature="AMtx7miG+4tjKZyl0datRkKukSfw5Q0Cw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ID#AAACHzgJi8E
ESPE    (2026-10-01 15:14:50)
verificable</t>
      </text>
    </comment>
    <comment authorId="0" ref="B15">
      <text>
        <t xml:space="preserve">======
ID#AAACHzgJi7g
ESPE    (2026-10-01 15:14:50)
NECESIDAD</t>
      </text>
    </comment>
    <comment authorId="0" ref="B14">
      <text>
        <t xml:space="preserve">======
ID#AAACHzgJi7o
ESPE    (2026-10-01 15:14:50)
CONSISTENCIA</t>
      </text>
    </comment>
    <comment authorId="0" ref="B13">
      <text>
        <t xml:space="preserve">======
ID#AAACHzgJi9A
ESPE    (2026-10-01 15:14:50)
CORRECCION</t>
      </text>
    </comment>
    <comment authorId="0" ref="B12">
      <text>
        <t xml:space="preserve">======
ID#AAACHzgJi8U
ESPE    (2026-10-01 15:14:50)
TRAZABILIDAD</t>
      </text>
    </comment>
    <comment authorId="0" ref="B11">
      <text>
        <t xml:space="preserve">======
ID#AAACHzgJi6s
ESPE    (2026-10-01 15:14:50)
trazabilidad</t>
      </text>
    </comment>
    <comment authorId="0" ref="B10">
      <text>
        <t xml:space="preserve">======
ID#AAACHzgJi8o
ESPE    (2026-10-01 15:14:50)
TRAZABILIDAD</t>
      </text>
    </comment>
    <comment authorId="0" ref="B9">
      <text>
        <t xml:space="preserve">======
ID#AAACHzgJi6k
ESPE    (2026-10-01 15:14:50)
COMPLETITUD REQUISITO INDIVIDUAL</t>
      </text>
    </comment>
    <comment authorId="0" ref="B8">
      <text>
        <t xml:space="preserve">======
ID#AAACHzgJi9M
ESPE    (2026-10-01 15:14:50)
COMPLETITUD DOCUMENTO</t>
      </text>
    </comment>
  </commentList>
  <extLst>
    <ext uri="GoogleSheetsCustomDataVersion2">
      <go:sheetsCustomData xmlns:go="http://customooxmlschemas.google.com/" r:id="rId1" roundtripDataSignature="AMtx7mh/JuDzl6DNWwSnk9rxo7+e5Ld6e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ID#AAACHzgJi7I
ESPE    (2026-10-01 15:14:50)
verificable</t>
      </text>
    </comment>
    <comment authorId="0" ref="B15">
      <text>
        <t xml:space="preserve">======
ID#AAACHzgJi7E
ESPE    (2026-10-01 15:14:50)
NECESIDAD</t>
      </text>
    </comment>
    <comment authorId="0" ref="B14">
      <text>
        <t xml:space="preserve">======
ID#AAACHzgJi7k
ESPE    (2026-10-01 15:14:50)
CONSISTENCIA</t>
      </text>
    </comment>
    <comment authorId="0" ref="B13">
      <text>
        <t xml:space="preserve">======
ID#AAACHzgJi8A
ESPE    (2026-10-01 15:14:50)
CORRECCION</t>
      </text>
    </comment>
    <comment authorId="0" ref="B12">
      <text>
        <t xml:space="preserve">======
ID#AAACHzgJi60
ESPE    (2026-10-01 15:14:50)
TRAZABILIDAD</t>
      </text>
    </comment>
    <comment authorId="0" ref="B11">
      <text>
        <t xml:space="preserve">======
ID#AAACHzgJi64
ESPE    (2026-10-01 15:14:50)
trazabilidad</t>
      </text>
    </comment>
    <comment authorId="0" ref="B10">
      <text>
        <t xml:space="preserve">======
ID#AAACHzgJi7U
ESPE    (2026-10-01 15:14:50)
TRAZABILIDAD</t>
      </text>
    </comment>
    <comment authorId="0" ref="B9">
      <text>
        <t xml:space="preserve">======
ID#AAACHzgJi6w
ESPE    (2026-10-01 15:14:50)
COMPLETITUD REQUISITO INDIVIDUAL</t>
      </text>
    </comment>
    <comment authorId="0" ref="B8">
      <text>
        <t xml:space="preserve">======
ID#AAACHzgJi78
ESPE    (2026-10-01 15:14:50)
COMPLETITUD DOCUMENTO</t>
      </text>
    </comment>
  </commentList>
  <extLst>
    <ext uri="GoogleSheetsCustomDataVersion2">
      <go:sheetsCustomData xmlns:go="http://customooxmlschemas.google.com/" r:id="rId1" roundtripDataSignature="AMtx7mhg3VknO5I+JU22fmLP++u9i3tW2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ID#AAACHzgJi80
ESPE    (2026-10-01 15:14:50)
verificable</t>
      </text>
    </comment>
    <comment authorId="0" ref="B15">
      <text>
        <t xml:space="preserve">======
ID#AAACHzgJi9E
ESPE    (2026-10-01 15:14:50)
NECESIDAD</t>
      </text>
    </comment>
    <comment authorId="0" ref="B14">
      <text>
        <t xml:space="preserve">======
ID#AAACHzgJi8M
ESPE    (2026-10-01 15:14:50)
CONSISTENCIA</t>
      </text>
    </comment>
    <comment authorId="0" ref="B13">
      <text>
        <t xml:space="preserve">======
ID#AAACHzgJi8I
ESPE    (2026-10-01 15:14:50)
CORRECCION</t>
      </text>
    </comment>
    <comment authorId="0" ref="B12">
      <text>
        <t xml:space="preserve">======
ID#AAACHzgJi7A
ESPE    (2026-10-01 15:14:50)
TRAZABILIDAD</t>
      </text>
    </comment>
    <comment authorId="0" ref="B11">
      <text>
        <t xml:space="preserve">======
ID#AAACHzgJi68
ESPE    (2026-10-01 15:14:50)
trazabilidad</t>
      </text>
    </comment>
    <comment authorId="0" ref="B10">
      <text>
        <t xml:space="preserve">======
ID#AAACHzgJi9Q
ESPE    (2026-10-01 15:14:50)
TRAZABILIDAD</t>
      </text>
    </comment>
    <comment authorId="0" ref="B9">
      <text>
        <t xml:space="preserve">======
ID#AAACHzgJi8w
ESPE    (2026-10-01 15:14:50)
COMPLETITUD REQUISITO INDIVIDUAL</t>
      </text>
    </comment>
    <comment authorId="0" ref="B8">
      <text>
        <t xml:space="preserve">======
ID#AAACHzgJi7M
ESPE    (2026-10-01 15:14:50)
COMPLETITUD DOCUMENTO</t>
      </text>
    </comment>
  </commentList>
  <extLst>
    <ext uri="GoogleSheetsCustomDataVersion2">
      <go:sheetsCustomData xmlns:go="http://customooxmlschemas.google.com/" r:id="rId1" roundtripDataSignature="AMtx7mjuGUVEoKz5hXauKGwH0/A1GBtjEQ=="/>
    </ext>
  </extLst>
</comments>
</file>

<file path=xl/sharedStrings.xml><?xml version="1.0" encoding="utf-8"?>
<sst xmlns="http://schemas.openxmlformats.org/spreadsheetml/2006/main" count="809" uniqueCount="200">
  <si>
    <t>MATRIZ PARA COMPROBACIÓN REQUERIMIENTOS DE CALIDAD DE PROYECTO ACADEMICO</t>
  </si>
  <si>
    <t>SISTEMA:</t>
  </si>
  <si>
    <t>Pago Seguro Agrotac</t>
  </si>
  <si>
    <t>Requerimientos  Funcionales</t>
  </si>
  <si>
    <t>Nº</t>
  </si>
  <si>
    <t>CRITERIOS DE CALIDAD (Documento/Requerimientos)</t>
  </si>
  <si>
    <t>Status
Nivel de Acuerdo</t>
  </si>
  <si>
    <t>CU-1: Gestionar acceso al sistema</t>
  </si>
  <si>
    <t>CU-2: Registrar Comprobante de Pago</t>
  </si>
  <si>
    <t>CU-3: Procesar pagos a crédito</t>
  </si>
  <si>
    <t>CU-4: Importar Datos de Facturación</t>
  </si>
  <si>
    <t>CU-5: Gestionar créditos otorgados</t>
  </si>
  <si>
    <t>CU-6: Generar reportes de pagos y créditos</t>
  </si>
  <si>
    <t>CU-7: Revisar estado de cuenta del cliente</t>
  </si>
  <si>
    <t>CU-8: Gestionar notificaciones</t>
  </si>
  <si>
    <t>Agreed</t>
  </si>
  <si>
    <t>OK</t>
  </si>
  <si>
    <t>1. Videoconferencia de la entrevista con el cliente.
2. Minuta de la entrevista y SRS firmado donde se acordó el requisito.</t>
  </si>
  <si>
    <t>NOK</t>
  </si>
  <si>
    <t>1. No existe acta o minuta en la que todos los interesados (Cliente, Asistente y Gerente) aprueben el alcance final del requisito.
2. Queda pendiente acordar si la validación con pasarelas de pago o bancos ('pudiendo integrar') forma parte del alcance.</t>
  </si>
  <si>
    <t>1. Videoconferencia de la entrevista con el cliente.
 2. Minuta de la entrevista y SRS firmado donde se acordó el requisito.</t>
  </si>
  <si>
    <t>1. Videoconferencia de reunión con el cliente.
2. Minuta de la entrevista donde se acordó el requisito y documento con la especificación.</t>
  </si>
  <si>
    <t>Ranked</t>
  </si>
  <si>
    <t>1. El SRS especifica la prioridad del requisito como Obligatorio en la tabla de priorización de requisitos funcionales.
2. Es la puerta de entrada al sistema y soporta O-1 (control de acceso seguro).</t>
  </si>
  <si>
    <t>1. Se especifica como requisito obligatorio y crítico para la operación del sistema, ya que impacta directamente en la gestión financiera y trazabilidad de pagos.</t>
  </si>
  <si>
    <t>1. Requisito de nivel 0 crítico para la operación: actualiza en tiempo real el estado de los créditos.
2. Vinculado directamente al control de cartera de El Granito de AGROTAC.</t>
  </si>
  <si>
    <t>1. El requisito está priorizado como Obligatorio en la tabla de requisitos funcionales. Además, es importante para actualizar la información de pagos y créditos.</t>
  </si>
  <si>
    <t>1. Requisito de nivel 0 crítico: el otorgamiento y seguimiento de créditos es el núcleo del negocio.
2. Involucra a los actores Gerente y Cliente en el diagrama de nivel 0.</t>
  </si>
  <si>
    <t>1. Requisito de nivel 0 importante para la toma de decisiones del gerente y el control de morosidad.
2. Incluye a CU-4 (&lt;&lt;include&gt;&gt;) para disponer de los datos de facturación.</t>
  </si>
  <si>
    <t>1. Requisito de nivel 0 relevante para la transparencia con el cliente: muestra créditos, pagos, cuotas, intereses y saldo.
2. Asociado a O-4 (experiencia de usuario) y O-7 (trazabilidad).</t>
  </si>
  <si>
    <t>1. En la descripción del caso de uso se especifica como requisito crítico para evitar morosidad.
2. Está vinculado a objetivos de negocio relacionados con la gestión de créditos.</t>
  </si>
  <si>
    <t>Unambiguos</t>
  </si>
  <si>
    <t>1. Se ingresa el 'tipo de usuario', pero también se indica que el cliente se registra por sí mismo y el gerente registra al asistente, sin precisar quién asigna el rol.
2. Se define un código de verificación de seis dígitos, pero no su tiempo de validez ni el número de intentos, lo que admite más de una interpretación.</t>
  </si>
  <si>
    <t>1. El lenguaje es claro y evita ambigüedades.
2. El equipo y el tutor interpretan el mismo flujo del caso de uso (registro, validación, acuse).</t>
  </si>
  <si>
    <t>1. Aplica el abono 'según el orden definido por las reglas de negocio', pero esas reglas no se especifican.
2. No se detallan los métodos de pago válidos ni el tratamiento de pagos presenciales frente a pagos en línea.</t>
  </si>
  <si>
    <t>1. Redacción en lenguaje claro.
2. El tutor y el equipo interpretan de igual manera el caso de uso.</t>
  </si>
  <si>
    <t>1. La descripción mezcla entradas y procesos ('solicitudes de pago en línea', 'editar planes de pago') sin precisar quién edita el plan ni bajo qué condiciones.
2. No define qué datos componen un crédito otorgado (monto, plazo, interés) ni el contenido del certificado de pago.</t>
  </si>
  <si>
    <t>1. 'Visualizar clientes en riesgo de morosidad' no define el criterio de riesgo (días de mora, monto adeudado).
2. No se precisan filtros ni formatos de salida, y el actor 'Asistente Administrativo' difiere del actor Asistente del diagrama de nivel 0.</t>
  </si>
  <si>
    <t>1. 'Verificará que la información esté completa y actualizada' no define criterios de completitud ni frecuencia de actualización.
2. No se precisan los 'conceptos' de filtrado ni qué información ve cada actor (Cliente, Asistente, Gerente).</t>
  </si>
  <si>
    <t>1. Redacción clara usando términos específicos: 'fecha límite', 'vencimiento', 'notificación'.
2. El tutor y el equipo interpretan de igual manera el caso de uso; flujo de secuencia bien definido.</t>
  </si>
  <si>
    <t>Valid and up-to date</t>
  </si>
  <si>
    <t>1. Toda nueva información ha sido incorporada en la versión vigente del SRS.
2. Las modificaciones del requisito fueron revisadas y aprobadas por todos los implicados.</t>
  </si>
  <si>
    <t>1. Faltan incorporar observaciones recientes del cliente respecto a la validación automática con bancos o pasarelas de pago.
2. Las modificaciones del requisito no han sido acordadas por todos los implicados.</t>
  </si>
  <si>
    <t>1. Se incorporaron los cambios acordados con el cliente (formatos CSV/XLSX e integración con el sistema de facturación de la empresa).
2. Las modificaciones fueron aprobadas por todos los implicados.</t>
  </si>
  <si>
    <t>1. Se incorporaron los cambios acordados con el cliente sobre los avisos de vencimiento y de pago vencido.
2. Las modificaciones fueron aprobadas por todos los implicados.</t>
  </si>
  <si>
    <t>Correct</t>
  </si>
  <si>
    <t>1. Está alineado con O-1 (control de acceso seguro), O-2 (gestión diferenciada por roles) y O-6 (protección de la información).
2. Refleja lo que realmente necesita el cliente: que cada actor acceda solo a su entorno.</t>
  </si>
  <si>
    <t>1. Está alineado con los objetivos O-5 (Evitar errores de registro) y O-7 (Trazabilidad de comprobantes).
2. Representa una necesidad real del proceso: reemplazar el envío de comprobantes por WhatsApp y su registro en Excel.</t>
  </si>
  <si>
    <t>1. Está alineado con O-5 (Evitar errores de registro) y O-7 (Trazabilidad de comprobantes).
2. Refleja la necesidad real de aplicar abonos y conocer el saldo actualizado del crédito.</t>
  </si>
  <si>
    <t>1. Está alineado con los objetivos del sistema.
2. Refleja lo que realmente necesita el cliente: evitar la digitación manual de facturas.</t>
  </si>
  <si>
    <t>1. Está alineado con O-2 (gestión por roles) y O-7 (trazabilidad).
2. Refleja la necesidad del gerente de otorgar créditos y del cliente de consultar condiciones, estado y certificados.</t>
  </si>
  <si>
    <t>1. Está alineado con O-7 y O-13 (trazabilidad y auditoría).
2. Responde a la necesidad del gerente de visualizar pagos por cliente, por fechas y clientes en riesgo de morosidad.</t>
  </si>
  <si>
    <t>1. Está alineado con O-4 y O-7.
2. Refleja la necesidad del cliente de conocer su saldo real sin solicitarlo por otros medios.</t>
  </si>
  <si>
    <t>1. Alineado con objetivos del sistema de gestión de créditos.
2. Refleja la necesidad real del cliente de prevenir morosidad y contribuye a la trazabilidad de pagos.</t>
  </si>
  <si>
    <t>Consisten</t>
  </si>
  <si>
    <t>1. Documentación basada en modelos: Diagrama General de Casos de Uso de nivel 0 (actores Cliente, Asistente y Gerente).
2. No presenta contradicciones con los demás requisitos de nivel 0.</t>
  </si>
  <si>
    <t>1. Se solapa con CU-3: ambos asocian el pago a las cuotas, actualizan saldos e intereses y generan un acuse/comprobante con número único.
2. El diagrama de nivel 0 relaciona CU-2 y CU-3 con &lt;&lt;include&gt;&gt;, pero no se delimita dónde termina el registro y dónde inicia el procesamiento del pago.</t>
  </si>
  <si>
    <t>1. Duplica comportamientos de CU-2 (asociación a cuotas, recálculo de saldos e intereses, comprobante con número único).
2. Se superpone con CU-5, cuya descripción también incluye realizar pagos en línea sobre el crédito activo.</t>
  </si>
  <si>
    <t>1. Usa términos definidos previamente (factura, cliente, monto, estado del pago).
2. Coherente con el diagrama de nivel 0: CU-6 incluye a CU-4 y participa el actor 'Sistema de facturación de la empresa'.</t>
  </si>
  <si>
    <t>1. Incluye 'editar planes de pago', función que no se desarrolla en la especificación del requisito ni se relaciona con otro caso de uso.
2. 'Realizar pagos en línea' se superpone con CU-2 y CU-3, que ya cubren el registro y procesamiento de pagos.</t>
  </si>
  <si>
    <t>1. La función 'Visualizar auditoría de acciones' asociada a CU-6 en el diagrama no está descrita en su especificación.
2. El diagrama de nivel 0 indica que CU-6 incluye a CU-4 (&lt;&lt;include&gt;&gt;), relación que no se menciona en la descripción del requisito.</t>
  </si>
  <si>
    <t>1. Se superpone con CU-5 (consulta del estado y condiciones del crédito) y con CU-6 (información de pagos por cliente).
2. No se delimita qué información pertenece al estado de cuenta y cuál a créditos o reportes.</t>
  </si>
  <si>
    <t>1. Coherente con CU-5 (créditos y cuotas) y con el diagrama de nivel 0.
2. Usa de forma uniforme los términos vencimiento, cuota y notificación.</t>
  </si>
  <si>
    <t>Verifiable</t>
  </si>
  <si>
    <t>1. Falta un proceso acotado (plazo y presupuesto) de verificación y validación.
2. La descripción de nivel 0 no establece criterios de aceptación ni casos de prueba para registro, inicio de sesión y recuperación de contraseña.</t>
  </si>
  <si>
    <t>1. Aún no se han definido casos de prueba ni un plan de validación acotado para carga, duplicados, aprobación, rechazo y asociación del comprobante al pago.</t>
  </si>
  <si>
    <t>1. No se han definido casos de prueba para abonos, cuotas, recálculo de saldos y situaciones excepcionales (crédito inactivo, monto incorrecto).
2. No existe un plan de validación con responsables y fechas.</t>
  </si>
  <si>
    <t>1. Puede probarse con archivos válidos e inválidos, pero no existe un plan de verificación acotado en plazo y presupuesto.
2. Faltan criterios de aceptación medibles para duplicados, inconsistencias y confirmación de importación.</t>
  </si>
  <si>
    <t>1. No se han definido pruebas para otorgamiento de crédito, consultas, pagos asociados ni generación de certificados de pago.
2. Faltan criterios de aceptación medibles para los casos alternos (pagos vencidos, sin créditos activos).</t>
  </si>
  <si>
    <t>1. No existen pruebas para rangos de fechas, clientes sin movimientos, ausencia de morosidad ni resultados vacíos.
2. La descripción no establece criterios de aceptación medibles para cada tipo de reporte.</t>
  </si>
  <si>
    <t>1. No hay pruebas definidas para el resumen de cuenta, filtros, clientes sin movimientos ni descarga en PDF/XLSX.
2. Falta un plan de validación con responsables y fechas.</t>
  </si>
  <si>
    <t>1. Las condiciones de disparo (cuota próxima a vencer, cuota vencida sin pago) son observables y comprobables.
2. Existe un proceso acotado para verificar la emisión de las notificaciones al cliente.</t>
  </si>
  <si>
    <t>Realizable</t>
  </si>
  <si>
    <t>1. Funcionalidad tomada en cuenta dentro de la estimación del costo del proyecto.
2. Técnicamente viable (autenticación por roles, recuperación por correo) y con evidencia de implementación.</t>
  </si>
  <si>
    <t>1. El desarrollo del módulo es técnicamente viable con los recursos actuales (framework, base de datos y arquitectura definidos).
2. Existe evidencia de implementación; la integración con bancos se plantea como opcional.</t>
  </si>
  <si>
    <t>1. Técnicamente viable con la arquitectura y base de datos definidas.
2. Pendiente de implementación: no hay evidencia de desarrollo de la aplicación de abonos y actualización de saldos.</t>
  </si>
  <si>
    <t>1. Todos los componentes técnicos están dentro del alcance del desarrollo.
2. Pendiente de implementación del módulo; falta especificar protocolos de integración y forma de migrar los datos.</t>
  </si>
  <si>
    <t>1. Técnicamente viable con los recursos del proyecto (pasarela de pago, generación de PDF).
2. Pendiente de implementación completa del otorgamiento, consulta y actualización de créditos.</t>
  </si>
  <si>
    <t>1. Viable con la base de datos y las librerías de exportación previstas.
2. Pendiente de implementación de los reportes por cliente, fechas y morosidad.</t>
  </si>
  <si>
    <t>1. Viable con los datos de créditos y pagos ya modelados.
2. Pendiente de implementación de la consulta de estado de cuenta.</t>
  </si>
  <si>
    <t>1. Funcionalidad considerada en el presupuesto y técnicamente viable (tarea programada y envío de mensajes).
2. Pendiente de implementación de las notificaciones automáticas.</t>
  </si>
  <si>
    <t>Traceable</t>
  </si>
  <si>
    <t>1. Es claro el origen del requisito y sus relaciones con otros requisitos (matriz de trazabilidad cliente/casos de uso y casos de uso/casos de uso).
2. Cuenta con identificador único CU-1 y se asocia a O-1, O-2 y O-6.</t>
  </si>
  <si>
    <t>1. Se encuentra relacionado con O-7 (Trazabilidad) y con el registro y monitoreo del sistema (NF-05).
2. Incluido en la matriz de trazabilidad entre requerimientos y casos de uso.</t>
  </si>
  <si>
    <t>1. Cuenta con identificador único CU-3 y relación &lt;&lt;include&gt;&gt; con CU-2 en el diagrama de nivel 0.
2. Origen claro en la entrevista con el cliente y asociado a O-5 y O-7.</t>
  </si>
  <si>
    <t>1. Cuenta con identificador único y origen claro, pero no existe un mecanismo formal que siga su impacto en diseño, implementación y pruebas.
2. No está incorporado en una matriz de trazabilidad origen–SRS–historia de usuario–prueba ni vinculado a RNF.</t>
  </si>
  <si>
    <t>1. Identificador único CU-5 con origen claro en la entrevista con el cliente.
2. Relacionado con CU-3 (pagos) y CU-7 (estado de cuenta) dentro del diagrama de nivel 0.</t>
  </si>
  <si>
    <t>1. Identificador único CU-6 con origen claro en la entrevista con el cliente.
2. Relación &lt;&lt;include&gt;&gt; con CU-4 en el diagrama de nivel 0 y asociado a O-7 y O-13.</t>
  </si>
  <si>
    <t>1. Identificador único CU-7, con origen en la entrevista y relación con CU-5 y CU-6.
2. Representado en el diagrama de nivel 0 con los actores Cliente y Asistente.</t>
  </si>
  <si>
    <t>1. Identificador único CU-8 con origen claro en la entrevista con el cliente.
2. Asociado a los actores Cliente y Gerente en el diagrama de nivel 0 e incluido en la matriz de trazabilidad requisitos/casos de uso.</t>
  </si>
  <si>
    <t>Complete</t>
  </si>
  <si>
    <t>1. Define entradas (nombre, correo, contraseña, tipo de usuario), proceso (registro, inicio de sesión y recuperación de contraseña) y salida (acceso según rol).
2. Describe completamente la funcionalidad esperada.</t>
  </si>
  <si>
    <t>1. Contiene entradas (referencia, fecha, monto, entidad emisora, adjunto), validaciones, actores y salidas (confirmación, estado del crédito, certificado).
2. Describe adecuadamente las reglas de negocio y los resultados esperados.</t>
  </si>
  <si>
    <t>1. Define entradas (identificador del crédito, monto, método de pago, fecha y comprobante), validaciones y salidas (comprobante digital y certificado de pago).
2. Describe la funcionalidad esperada a nivel 0.</t>
  </si>
  <si>
    <t>1. Contiene entradas (archivo CSV/XLSX o fuente externa), validaciones (formato, duplicados, integridad) y salidas (confirmación y reporte de inconsistencias).
2. Describe completamente la funcionalidad esperada.</t>
  </si>
  <si>
    <t>1. Define entradas (solicitudes de pago, consultas de condiciones y estado, solicitudes de certificados), proceso y salidas (información actualizada del crédito y certificados).
2. Describe la funcionalidad esperada a nivel 0.</t>
  </si>
  <si>
    <t>1. Define entradas (datos de clientes, rangos de fechas y datos de morosidad) y salidas (reportes de pagos por cliente, por fechas y clientes en riesgo de morosidad).
2. Describe la funcionalidad esperada a nivel 0.</t>
  </si>
  <si>
    <t>1. Define entrada (identificador del cliente o sesión), procesamiento (consulta y orden cronológico) y salida (resumen, filtros y descarga PDF/XLSX).
2. Describe la funcionalidad esperada a nivel 0.</t>
  </si>
  <si>
    <t>1. Contiene entradas (fecha actual, créditos y cuotas registradas) y salidas (notificación al cliente).
2. Precondiciones y postcondiciones definidas para el requisito.</t>
  </si>
  <si>
    <t>Understandability</t>
  </si>
  <si>
    <t>1. Se involucra al cliente en la definición del requisito.
2. Existe glosario de términos normalizado.</t>
  </si>
  <si>
    <t>1. El cliente participó en la definición del flujo y la validación de campos.
2. Existe glosario de términos contables y financieros en el documento de soporte.</t>
  </si>
  <si>
    <t>1. Se involucra al cliente en la definición del requisito.
2. Existe glosario de términos (crédito, cuota, abono, saldo).</t>
  </si>
  <si>
    <t>1. El cliente participó en la definición del requisito.
2. Existe glosario de términos normalizado (factura, importación, inconsistencia).</t>
  </si>
  <si>
    <t>1. El cliente participó en la definición del requisito.
2. Existe glosario de términos (crédito activo, cuota, certificado de pago).</t>
  </si>
  <si>
    <t>1. El cliente participó en la definición del requisito.
2. Existe glosario de términos (morosidad, días de mora, reporte).</t>
  </si>
  <si>
    <t>1. El cliente participó en la definición del requisito.
2. Existe glosario de términos (estado de cuenta, saldo, interés).</t>
  </si>
  <si>
    <t>1. El cliente participó en la definición del requisito.
2. Existe glosario de términos y lenguaje comprensible para todas las partes.</t>
  </si>
  <si>
    <t>FECHA:</t>
  </si>
  <si>
    <t>AUTOR:</t>
  </si>
  <si>
    <t>Uriel Andrade</t>
  </si>
  <si>
    <t>REQUERIMIENTOS EVALUADOS :</t>
  </si>
  <si>
    <t>César Luis Galarza Villalva</t>
  </si>
  <si>
    <t>CONTENIDO</t>
  </si>
  <si>
    <t xml:space="preserve">CU-1: Gestionar acceso al sistema
</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</si>
  <si>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</si>
  <si>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</si>
  <si>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</si>
  <si>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</si>
  <si>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</si>
  <si>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</si>
  <si>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</si>
  <si>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</si>
  <si>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</si>
  <si>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</si>
  <si>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</si>
  <si>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</si>
  <si>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</si>
  <si>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</si>
  <si>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</si>
  <si>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</si>
  <si>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</si>
  <si>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</si>
  <si>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</si>
  <si>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</si>
  <si>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</si>
  <si>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</si>
  <si>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</si>
  <si>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</si>
  <si>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</si>
  <si>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</si>
  <si>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</si>
  <si>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</si>
  <si>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</si>
  <si>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Andy Conteron</t>
  </si>
  <si>
    <t>Juda Grijalva</t>
  </si>
  <si>
    <t>PREGUNTA</t>
  </si>
  <si>
    <t>RECOMENDACIÓN</t>
  </si>
  <si>
    <t>¿Existe un proceso acotado (en plazo y presupuesto) que permita determinar que el sistema construido satisface lo descrito en el propio requerimiento?</t>
  </si>
  <si>
    <t>Establecer un proceso formal de verificación y validación acotado en plazo y recursos. Debe incluir responsables asignados, fechas clave, criterios de aceptación objetivos y el diseño de casos de prueba con usuarios finales, asegurando la documentación de evidencias y la trazabilidad requerimiento-prueba para comprobar objetivamente el cumplimiento del sistema.</t>
  </si>
  <si>
    <t>¿Los requerimientos Funcionales estan sujetos a una única interpretación? que permitan medir objetivamente el cumplimiento del 
requisito?</t>
  </si>
  <si>
    <t>Normalizar la redacción del requerimiento eliminando ambigüedades y asegurando consistencia técnica con el glosario. Para garantizar su cumplimiento objetivo, se deben establecer criterios de aceptación verificables y realizar una sesión de validación clave antes de su paso a desarrollo.</t>
  </si>
  <si>
    <t>Juda Benhur Grijalva Ñacato</t>
  </si>
  <si>
    <t xml:space="preserve">CU-8: Gestionar notificaciones
</t>
  </si>
  <si>
    <t>¿Se han incorporado todos los requerimientos de nivel cero al sistema?</t>
  </si>
  <si>
    <t>Se recomienda establecer un proceso formal de gestión de cambios que incluya el registro, revisión e incorporación de cada sugerencia recibida por parte del tutor o cliente, asegurando que los requisitos estén siempre actualizados, reflejen las expectativas reales y eviten ambigüedades o malentendidos en etapas posteriores del desarrollo.</t>
  </si>
  <si>
    <t>¿Se mantiene la coherencia con otros requisitos del sistema y utiliza términos o definiciones de forma uniforme a lo largo del documento?</t>
  </si>
  <si>
    <t>Aunque el requisito mantiene coherencia con los demás y utiliza los términos de forma uniforme, se recomienda revisar la redacción para eliminar palabras redundantes que no aportan valor, donde una redacción más concisa mejora la claridad del requisito.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</si>
  <si>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</si>
  <si>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</si>
  <si>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¿Todos los requerimientos  han sido acordados con todos los interesados?</t>
  </si>
  <si>
    <t>Se recomienda realizar sesiones de validación y consenso con todos los interesados clave antes de cerrar la especificación de requerimientos, esto asegurará que los requerimientos reflejen las necesidades puntuales.</t>
  </si>
  <si>
    <t>¿Cuál es el orden específico de imputación de los abonos y qué métodos de pago se permitirán en el sistema?</t>
  </si>
  <si>
    <t>Documentar e incorporar de inmediato el orden de prelación de pagos (por ejemplo: si el abono cubre primero intereses de mora, luego intereses corrientes y finalmente el capital). Asimismo, se deben detallar explícitamente los métodos de pago aceptados y las diferencias operativas entre un pago presencial y uno en línea.</t>
  </si>
  <si>
    <t>¿Cómo se reestructurará el catálogo de casos de uso para eliminar la duplicidad de funciones con CU-2 y CU-5?</t>
  </si>
  <si>
    <t>Refactorizar el diseño de los casos de uso para evitar código duplicado y conflictos lógicos. Se sugiere que las funciones comunes (como el cálculo de saldos/intereses y la generación de comprobantes) se centralicen en un único componente o servicio reusable, delimitando claramente qué le corresponde a CU-3 y qué a CU-5 (pagos en línea).</t>
  </si>
  <si>
    <t>¿Bajo qué escenarios y criterios de aceptación se validará el correcto funcionamiento del recálculo de saldos y el manejo de excepciones?</t>
  </si>
  <si>
    <t>Diseñar una matriz de casos de prueba exhaustiva que incluya escenarios felices y lógicas de excepción (por ejemplo: qué ocurre si el crédito está inactivo, si el monto ingresado es negativo o cero, o si se cae la conexión durante un pago). Esta matriz debe acompañarse de un plan de validación con fechas y responsables asignados.</t>
  </si>
  <si>
    <t>¿Cuál es el cronograma estimado para el desarrollo de la lógica de aplicación de abonos y la actualización de saldos en tiempo real?</t>
  </si>
  <si>
    <t>¿Se han implementado las funciones requeridas?</t>
  </si>
  <si>
    <t xml:space="preserve">Priorizar el desarrollo de este requisito en el backlog, dado que está catalogado como un requerimiento de "nivel 0 crítico" para el control de cartera de El Granito de AGROTAC. Se debe asegurar que la base de datos soporte la concurrencia necesaria para la actualización en tiempo real.
</t>
  </si>
  <si>
    <t>Implementar el módulo de importación de datos de facturación con soporte para los formatos definidos y evidencia de funcionamiento.</t>
  </si>
  <si>
    <t>¿Existe algún mecanismo que permita seguir el impacto de dicho requerimiento a lo largo del
 resto de las actividades del ciclo productivo?</t>
  </si>
  <si>
    <t>Incorporar CU-4 a una matriz de trazabilidad que relacione origen, SRS, diseño, implementación y pruebas.</t>
  </si>
  <si>
    <t xml:space="preserve">¿Existe un proceso acotado  que permita determinar que el sistema construido satisface lo descrito en el propio requerimiento?
</t>
  </si>
  <si>
    <t xml:space="preserve">Implementar un plan de validación y verificación que incluya:
Actividades de prueba con fechas y responsables definidos
Presupuesto estimado para pruebas y revisiones
</t>
  </si>
  <si>
    <t>¿Existe un proceso acotado (en plazo y presupuesto) que permita determinar que el sistema 
construido satisface lo descrito en el propio requerimiento?</t>
  </si>
  <si>
    <t>Definir un plan de verificación para RF-4 con archivos válidos e inválidos, duplicados, inconsistencias y criterios de aceptación medibles.</t>
  </si>
  <si>
    <t>Completar la implementación de CU-5 (gestión de créditos otorgados), incluyendo otorgamiento, consulta y actualización de créditos, con evidencia de funcionamiento.</t>
  </si>
  <si>
    <t>¿No hay contradicciones entre los requerimientos?</t>
  </si>
  <si>
    <t>Documentar formalmente en CU-5 la función «Editar plan de pagos existente» o retirarla del diseño si no pertenece al alcance vigente.</t>
  </si>
  <si>
    <t>Definir pruebas para otorgamiento de crédito, consultas, pagos asociados y generación de certificados, incluyendo casos alternos.</t>
  </si>
  <si>
    <t>¿Los requerimientos funcionales están sujetos a una única interpretación?</t>
  </si>
  <si>
    <t>Refinar reglas, precondiciones y resultados de CU-5 para evitar interpretaciones distintas entre análisis, diseño e implementación.</t>
  </si>
  <si>
    <t>Completar y evidenciar la implementación de reportes por cliente, fechas, morosidad y consultas asociadas.</t>
  </si>
  <si>
    <t>Alinear la función «Visualizar auditoría de acciones» con RF-6, documentándola en el requisito o ajustando el diagrama para eliminar la inconsistencia.</t>
  </si>
  <si>
    <t>Definir pruebas de reportes para rangos de fechas, clientes sin movimientos, ausencia de morosidad y resultados vacíos.</t>
  </si>
  <si>
    <t>Precisar entradas, filtros, salidas y formatos esperados de cada reporte para asegurar una interpretación única.</t>
  </si>
  <si>
    <t>¿Se han implementado y verificado todas las funciones requeridas para la consulta del estado de cuenta?</t>
  </si>
  <si>
    <t>Completar y documentar formalmente las evidencias de implementación de la consulta de estado de cuenta. Se deben incluir y verificar los componentes esenciales: saldo actualizado, detalle de cuotas, registro cronológico de pagos e historial de movimientos, asegurando la captura de evidencias mediante pruebas de usuario final.</t>
  </si>
  <si>
    <t>¿Se ha garantizado la no contradicción y la coherencia de CU-7 frente a otros requerimientos del sistema?</t>
  </si>
  <si>
    <t>Delimitar y formalizar el alcance de CU-7 respecto a CU-5, relativo a la gestión de créditos, y CU-6, enfocado en reportes de pagos y créditos. Es necesario establecer una matriz de trazabilidad y dependencias que defina con claridad qué datos y transacciones corresponden a la consulta operativa del cliente y cuáles a la gestión crediticia o generación de informes administrativos.</t>
  </si>
  <si>
    <t>¿Existe un proceso formal, acotado en plazo y presupuesto, para validar que el sistema cumple con lo especificado?</t>
  </si>
  <si>
    <t>Definir e implementar un plan de pruebas y validación acotado en tiempo y recursos. El plan debe contemplar escenarios clave como el resumen de cuenta, la aplicación de filtros de búsqueda, la visualización de cuentas sin movimientos y la exportación de comprobantes, estableciendo responsables, criterios de aceptación medibles y registro de evidencias para evitar desviaciones.</t>
  </si>
  <si>
    <t>¿Los requerimientos funcionales y reglas de negocio de CU-7 admiten una única interpretación verificable?</t>
  </si>
  <si>
    <t>Especificar detalladamente el requisito mediante diagramas de estado, reglas de negocio precisas y flujos de interacción básicos, alternos y de excepción. Esto eliminará ambigüedades técnicas, asegurará coherencia con el glosario del proyecto y proporcionará criterios de aceptación verificables antes de su desarrollo.</t>
  </si>
  <si>
    <t>¿Existen casos de prueba definidos que permitan verificar el cumplimiento del requisito?</t>
  </si>
  <si>
    <t>Se debe elaborar un conjunto completo de casos de prueba para cada sub-requisito del CU-8:
CU-8.1: Casos de prueba que verifiquen la emisión de notificaciones cuando un crédito alcanza su fecha de vencimiento, incluyendo escenarios con diferentes tipos de créditos y fechas.
CU-8.2: Casos de prueba que validen la generación de notificaciones preventivas exactamente 3 días antes del vencimiento, considerando días hábiles, fines de semana y fechas especiales.
CU-8.3: Casos de prueba que confirmen la emisión de alertas para pagos vencidos sin abonos registrados, verificando la correcta identificación de deudas morosas.</t>
  </si>
  <si>
    <t>¿El requisito ha sido implementado y está funcional en el sistema?</t>
  </si>
  <si>
    <t>Se recomienda iniciar el proceso de implementación del CU-8 según lo planificado en el presupuesto del proyecto. Es necesario:
Asignar los recursos técnicos necesarios para el desarrollo de las tres funcionalidades de notificación (CU-8.1, CU-8.2, CU-8.3).
Realizar pruebas unitarias e integrales durante el desarrollo para garantizar el correcto funcionamiento antes del despliegue final.
Coordinar con el cliente una demostración del módulo una vez completada la implementación para validar que cumple con sus expectativas.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</si>
</sst>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8.0"/>
      <color theme="1"/>
      <name val="Arial"/>
    </font>
    <font>
      <b/>
      <color theme="1"/>
      <name val="Calibri"/>
      <scheme val="minor"/>
    </font>
    <font>
      <b/>
      <sz val="18.0"/>
      <color rgb="FF1F497D"/>
      <name val="Calibri"/>
    </font>
    <font>
      <b/>
      <sz val="18.0"/>
      <color theme="1"/>
      <name val="Calibri"/>
    </font>
    <font>
      <b/>
      <sz val="18.0"/>
      <color theme="1"/>
      <name val="Arial"/>
    </font>
    <font/>
    <font>
      <b/>
      <sz val="12.0"/>
      <color theme="1"/>
      <name val="Arial"/>
    </font>
    <font>
      <b/>
      <sz val="11.0"/>
      <color theme="1"/>
      <name val="Arial"/>
    </font>
    <font>
      <b/>
      <sz val="16.0"/>
      <color theme="0"/>
      <name val="Calibri"/>
    </font>
    <font>
      <b/>
      <sz val="14.0"/>
      <color rgb="FF000000"/>
      <name val="Calibri"/>
      <scheme val="minor"/>
    </font>
    <font>
      <b/>
      <sz val="12.0"/>
      <color rgb="FFFFFFFF"/>
      <name val="Calibri"/>
      <scheme val="minor"/>
    </font>
    <font>
      <b/>
      <sz val="12.0"/>
      <color rgb="FFFFFFFF"/>
      <name val="Calibri"/>
    </font>
    <font>
      <sz val="11.0"/>
      <color theme="1"/>
      <name val="Calibri"/>
    </font>
    <font>
      <b/>
      <sz val="14.0"/>
      <color theme="1"/>
      <name val="Calibri"/>
    </font>
    <font>
      <sz val="14.0"/>
      <color theme="1"/>
      <name val="Calibri"/>
    </font>
    <font>
      <b/>
      <sz val="18.0"/>
      <color rgb="FFFA7D00"/>
      <name val="Calibri"/>
    </font>
    <font>
      <sz val="12.0"/>
      <color theme="1"/>
      <name val="Arial"/>
    </font>
    <font>
      <b/>
      <sz val="16.0"/>
      <color theme="1"/>
      <name val="Calibri"/>
    </font>
    <font>
      <color theme="1"/>
      <name val="Calibri"/>
      <scheme val="minor"/>
    </font>
    <font>
      <color theme="1"/>
      <name val="Calibri"/>
    </font>
    <font>
      <b/>
      <sz val="11.0"/>
      <color theme="0"/>
      <name val="Calibri"/>
    </font>
    <font>
      <sz val="11.0"/>
      <color rgb="FF000000"/>
      <name val="Calibri"/>
    </font>
    <font>
      <b/>
      <sz val="11.0"/>
      <color rgb="FFFFFFFF"/>
      <name val="Calibri"/>
    </font>
  </fonts>
  <fills count="10">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4F81BD"/>
        <bgColor rgb="FF4F81BD"/>
      </patternFill>
    </fill>
    <fill>
      <patternFill patternType="solid">
        <fgColor rgb="FFFF0000"/>
        <bgColor rgb="FFFF0000"/>
      </patternFill>
    </fill>
    <fill>
      <patternFill patternType="solid">
        <fgColor theme="0"/>
        <bgColor theme="0"/>
      </patternFill>
    </fill>
    <fill>
      <patternFill patternType="solid">
        <fgColor rgb="FFB8CCE4"/>
        <bgColor rgb="FFB8CCE4"/>
      </patternFill>
    </fill>
    <fill>
      <patternFill patternType="solid">
        <fgColor rgb="FFC2D69B"/>
        <bgColor rgb="FFC2D69B"/>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left" readingOrder="0" shrinkToFit="0" vertical="center" wrapText="1"/>
    </xf>
    <xf borderId="1" fillId="2" fontId="5" numFmtId="0" xfId="0" applyAlignment="1" applyBorder="1" applyFill="1" applyFont="1">
      <alignment horizontal="center" vertical="center"/>
    </xf>
    <xf borderId="2" fillId="0" fontId="6" numFmtId="0" xfId="0" applyBorder="1" applyFont="1"/>
    <xf borderId="3" fillId="0" fontId="6" numFmtId="0" xfId="0" applyBorder="1" applyFont="1"/>
    <xf borderId="4" fillId="2" fontId="7" numFmtId="0" xfId="0" applyAlignment="1" applyBorder="1" applyFill="1" applyFont="1">
      <alignment horizontal="center" shrinkToFit="0" vertical="center" wrapText="1"/>
    </xf>
    <xf borderId="5" fillId="2" fontId="7" numFmtId="0" xfId="0" applyAlignment="1" applyBorder="1" applyFill="1" applyFont="1">
      <alignment horizontal="center" shrinkToFit="0" vertical="center" wrapText="1"/>
    </xf>
    <xf borderId="6" fillId="0" fontId="6" numFmtId="0" xfId="0" applyBorder="1" applyFont="1"/>
    <xf borderId="4" fillId="2" fontId="8" numFmtId="0" xfId="0" applyAlignment="1" applyBorder="1" applyFill="1" applyFont="1">
      <alignment horizontal="center" shrinkToFit="0" vertical="center" wrapText="1"/>
    </xf>
    <xf borderId="4" fillId="2" fontId="7" numFmtId="0" xfId="0" applyAlignment="1" applyBorder="1" applyFill="1" applyFont="1">
      <alignment horizontal="center" readingOrder="0" shrinkToFit="0" vertical="center" wrapText="1"/>
    </xf>
    <xf borderId="7" fillId="0" fontId="6" numFmtId="0" xfId="0" applyBorder="1" applyFont="1"/>
    <xf borderId="8" fillId="0" fontId="6" numFmtId="0" xfId="0" applyBorder="1" applyFont="1"/>
    <xf borderId="9" fillId="0" fontId="6" numFmtId="0" xfId="0" applyBorder="1" applyFont="1"/>
    <xf borderId="10" fillId="3" fontId="9" numFmtId="0" xfId="0" applyAlignment="1" applyBorder="1" applyFill="1" applyFont="1">
      <alignment horizontal="center" shrinkToFit="0" vertical="center" wrapText="1"/>
    </xf>
    <xf borderId="1" fillId="3" fontId="9" numFmtId="0" xfId="0" applyAlignment="1" applyBorder="1" applyFill="1" applyFont="1">
      <alignment horizontal="center" shrinkToFit="0" vertical="center" wrapText="1"/>
    </xf>
    <xf borderId="11" fillId="4" fontId="10" numFmtId="0" xfId="0" applyAlignment="1" applyBorder="1" applyFill="1" applyFont="1">
      <alignment horizontal="center" readingOrder="0" shrinkToFit="0" vertical="center" wrapText="1"/>
    </xf>
    <xf borderId="11" fillId="5" fontId="11" numFmtId="0" xfId="0" applyAlignment="1" applyBorder="1" applyFill="1" applyFont="1">
      <alignment horizontal="left" readingOrder="0" shrinkToFit="0" vertical="center" wrapText="1"/>
    </xf>
    <xf borderId="11" fillId="6" fontId="10" numFmtId="0" xfId="0" applyAlignment="1" applyBorder="1" applyFill="1" applyFont="1">
      <alignment horizontal="center" readingOrder="0" shrinkToFit="0" vertical="center" wrapText="1"/>
    </xf>
    <xf borderId="11" fillId="5" fontId="12" numFmtId="0" xfId="0" applyAlignment="1" applyBorder="1" applyFill="1" applyFont="1">
      <alignment horizontal="left" readingOrder="0" shrinkToFit="0" vertical="top" wrapText="1"/>
    </xf>
    <xf borderId="0" fillId="0" fontId="13" numFmtId="0" xfId="0" applyAlignment="1" applyFont="1">
      <alignment vertical="top"/>
    </xf>
    <xf borderId="0" fillId="0" fontId="14" numFmtId="0" xfId="0" applyAlignment="1" applyFont="1">
      <alignment horizontal="left" vertical="top"/>
    </xf>
    <xf borderId="0" fillId="0" fontId="15" numFmtId="0" xfId="0" applyAlignment="1" applyFont="1">
      <alignment shrinkToFit="0" vertical="top" wrapText="1"/>
    </xf>
    <xf borderId="0" fillId="0" fontId="14" numFmtId="0" xfId="0" applyAlignment="1" applyFont="1">
      <alignment horizontal="left"/>
    </xf>
    <xf borderId="0" fillId="0" fontId="15" numFmtId="15" xfId="0" applyAlignment="1" applyFont="1" applyNumberFormat="1">
      <alignment horizontal="left" readingOrder="0" shrinkToFit="0" vertical="bottom" wrapText="1"/>
    </xf>
    <xf borderId="0" fillId="0" fontId="15" numFmtId="0" xfId="0" applyAlignment="1" applyFont="1">
      <alignment horizontal="left" readingOrder="0" shrinkToFit="0" wrapText="1"/>
    </xf>
    <xf borderId="0" fillId="0" fontId="15" numFmtId="0" xfId="0" applyAlignment="1" applyFont="1">
      <alignment readingOrder="0" shrinkToFit="0" vertical="top" wrapText="1"/>
    </xf>
    <xf borderId="0" fillId="0" fontId="16" numFmtId="0" xfId="0" applyAlignment="1" applyFont="1">
      <alignment horizontal="center" vertical="center"/>
    </xf>
    <xf borderId="0" fillId="7" fontId="17" numFmtId="0" xfId="0" applyAlignment="1" applyFill="1" applyFont="1">
      <alignment horizontal="left" readingOrder="0" shrinkToFit="0" vertical="center" wrapText="1"/>
    </xf>
    <xf borderId="12" fillId="8" fontId="15" numFmtId="0" xfId="0" applyAlignment="1" applyBorder="1" applyFill="1" applyFont="1">
      <alignment horizontal="center" readingOrder="0" shrinkToFit="0" vertical="center" wrapText="0"/>
    </xf>
    <xf borderId="13" fillId="8" fontId="15" numFmtId="0" xfId="0" applyAlignment="1" applyBorder="1" applyFill="1" applyFont="1">
      <alignment horizontal="center" readingOrder="0" shrinkToFit="0" vertical="center" wrapText="0"/>
    </xf>
    <xf borderId="14" fillId="8" fontId="15" numFmtId="0" xfId="0" applyAlignment="1" applyBorder="1" applyFill="1" applyFont="1">
      <alignment horizontal="center" readingOrder="0" shrinkToFit="0" vertical="center" wrapText="0"/>
    </xf>
    <xf borderId="3" fillId="0" fontId="13" numFmtId="0" xfId="0" applyAlignment="1" applyBorder="1" applyFont="1">
      <alignment horizontal="center" shrinkToFit="0" vertical="center" wrapText="0"/>
    </xf>
    <xf borderId="11" fillId="0" fontId="13" numFmtId="0" xfId="0" applyAlignment="1" applyBorder="1" applyFont="1">
      <alignment shrinkToFit="0" vertical="center" wrapText="1"/>
    </xf>
    <xf borderId="11" fillId="0" fontId="13" numFmtId="0" xfId="0" applyAlignment="1" applyBorder="1" applyFont="1">
      <alignment horizontal="center" shrinkToFit="0" vertical="center" wrapText="0"/>
    </xf>
    <xf borderId="1" fillId="0" fontId="13" numFmtId="0" xfId="0" applyAlignment="1" applyBorder="1" applyFont="1">
      <alignment horizontal="center" shrinkToFit="0" vertical="center" wrapText="0"/>
    </xf>
    <xf borderId="1" fillId="0" fontId="13" numFmtId="0" xfId="0" applyAlignment="1" applyBorder="1" applyFont="1">
      <alignment horizontal="center" readingOrder="0" shrinkToFit="0" vertical="center" wrapText="0"/>
    </xf>
    <xf borderId="6" fillId="0" fontId="13" numFmtId="0" xfId="0" applyAlignment="1" applyBorder="1" applyFont="1">
      <alignment horizontal="center" shrinkToFit="0" vertical="center" wrapText="0"/>
    </xf>
    <xf borderId="4" fillId="0" fontId="13" numFmtId="0" xfId="0" applyAlignment="1" applyBorder="1" applyFont="1">
      <alignment shrinkToFit="0" vertical="center" wrapText="1"/>
    </xf>
    <xf borderId="4" fillId="0" fontId="13" numFmtId="0" xfId="0" applyAlignment="1" applyBorder="1" applyFont="1">
      <alignment horizontal="center" shrinkToFit="0" vertical="center" wrapText="0"/>
    </xf>
    <xf borderId="0" fillId="0" fontId="14" numFmtId="0" xfId="0" applyAlignment="1" applyFont="1">
      <alignment horizontal="left" vertical="center"/>
    </xf>
    <xf borderId="0" fillId="0" fontId="13" numFmtId="0" xfId="0" applyFont="1"/>
    <xf borderId="0" fillId="0" fontId="13" numFmtId="9" xfId="0" applyFont="1" applyNumberFormat="1"/>
    <xf borderId="15" fillId="0" fontId="16" numFmtId="0" xfId="0" applyAlignment="1" applyBorder="1" applyFont="1">
      <alignment horizontal="center" vertical="center"/>
    </xf>
    <xf borderId="15" fillId="0" fontId="6" numFmtId="0" xfId="0" applyBorder="1" applyFont="1"/>
    <xf borderId="9" fillId="0" fontId="14" numFmtId="0" xfId="0" applyAlignment="1" applyBorder="1" applyFont="1">
      <alignment horizontal="center" readingOrder="0" shrinkToFit="0" vertical="center" wrapText="0"/>
    </xf>
    <xf borderId="7" fillId="0" fontId="14" numFmtId="0" xfId="0" applyAlignment="1" applyBorder="1" applyFont="1">
      <alignment horizontal="center" readingOrder="0" shrinkToFit="0" vertical="center" wrapText="0"/>
    </xf>
    <xf borderId="7" fillId="0" fontId="18" numFmtId="0" xfId="0" applyAlignment="1" applyBorder="1" applyFont="1">
      <alignment horizontal="center" readingOrder="0" shrinkToFit="0" vertical="center" wrapText="0"/>
    </xf>
    <xf borderId="8" fillId="0" fontId="18" numFmtId="0" xfId="0" applyAlignment="1" applyBorder="1" applyFont="1">
      <alignment horizontal="center" readingOrder="0" shrinkToFit="0" vertical="center" wrapText="0"/>
    </xf>
    <xf borderId="5" fillId="0" fontId="13" numFmtId="0" xfId="0" applyAlignment="1" applyBorder="1" applyFont="1">
      <alignment horizontal="center" shrinkToFit="0" vertical="center" wrapText="0"/>
    </xf>
    <xf borderId="0" fillId="0" fontId="19" numFmtId="0" xfId="0" applyAlignment="1" applyFont="1">
      <alignment horizontal="center" readingOrder="0" shrinkToFit="0" vertical="center" wrapText="0"/>
    </xf>
    <xf borderId="4" fillId="0" fontId="13" numFmtId="0" xfId="0" applyAlignment="1" applyBorder="1" applyFont="1">
      <alignment horizontal="center" readingOrder="0" shrinkToFit="0" vertical="center" wrapText="0"/>
    </xf>
    <xf borderId="0" fillId="0" fontId="20" numFmtId="0" xfId="0" applyFont="1"/>
    <xf borderId="0" fillId="0" fontId="14" numFmtId="0" xfId="0" applyAlignment="1" applyFont="1">
      <alignment horizontal="center"/>
    </xf>
    <xf borderId="0" fillId="0" fontId="13" numFmtId="0" xfId="0" applyAlignment="1" applyFont="1">
      <alignment readingOrder="0"/>
    </xf>
    <xf borderId="0" fillId="0" fontId="15" numFmtId="0" xfId="0" applyAlignment="1" applyFont="1">
      <alignment horizontal="left" shrinkToFit="0" vertical="top" wrapText="1"/>
    </xf>
    <xf borderId="5" fillId="0" fontId="13" numFmtId="0" xfId="0" applyAlignment="1" applyBorder="1" applyFont="1">
      <alignment horizontal="center" readingOrder="0" shrinkToFit="0" vertical="center" wrapText="0"/>
    </xf>
    <xf borderId="11" fillId="9" fontId="21" numFmtId="0" xfId="0" applyAlignment="1" applyBorder="1" applyFill="1" applyFont="1">
      <alignment horizontal="center" vertical="center"/>
    </xf>
    <xf borderId="11" fillId="0" fontId="13" numFmtId="0" xfId="0" applyAlignment="1" applyBorder="1" applyFont="1">
      <alignment readingOrder="0" shrinkToFit="0" vertical="center" wrapText="1"/>
    </xf>
    <xf borderId="0" fillId="0" fontId="15" numFmtId="0" xfId="0" applyAlignment="1" applyFont="1">
      <alignment readingOrder="0" shrinkToFit="0" vertical="bottom" wrapText="1"/>
    </xf>
    <xf borderId="11" fillId="0" fontId="13" numFmtId="0" xfId="0" applyAlignment="1" applyBorder="1" applyFont="1">
      <alignment horizontal="left" readingOrder="0" shrinkToFit="0" vertical="center" wrapText="1"/>
    </xf>
    <xf borderId="11" fillId="0" fontId="13" numFmtId="0" xfId="0" applyAlignment="1" applyBorder="1" applyFont="1">
      <alignment horizontal="left" shrinkToFit="0" vertical="center" wrapText="1"/>
    </xf>
    <xf borderId="11" fillId="0" fontId="13" numFmtId="0" xfId="0" applyAlignment="1" applyBorder="1" applyFont="1">
      <alignment horizontal="left" vertical="center"/>
    </xf>
    <xf borderId="11" fillId="0" fontId="20" numFmtId="0" xfId="0" applyAlignment="1" applyBorder="1" applyFont="1">
      <alignment horizontal="left" shrinkToFit="0" vertical="center" wrapText="1"/>
    </xf>
    <xf borderId="11" fillId="0" fontId="13" numFmtId="0" xfId="0" applyAlignment="1" applyBorder="1" applyFont="1">
      <alignment horizontal="center" readingOrder="0" shrinkToFit="0" vertical="center" wrapText="0"/>
    </xf>
    <xf borderId="11" fillId="0" fontId="20" numFmtId="0" xfId="0" applyAlignment="1" applyBorder="1" applyFont="1">
      <alignment horizontal="left" readingOrder="0" shrinkToFit="0" vertical="center" wrapText="1"/>
    </xf>
    <xf borderId="11" fillId="0" fontId="22" numFmtId="0" xfId="0" applyAlignment="1" applyBorder="1" applyFont="1">
      <alignment horizontal="left" readingOrder="0" shrinkToFit="0" vertical="top" wrapText="1"/>
    </xf>
    <xf borderId="11" fillId="0" fontId="13" numFmtId="0" xfId="0" applyAlignment="1" applyBorder="1" applyFont="1">
      <alignment readingOrder="0" shrinkToFit="0" vertical="top" wrapText="1"/>
    </xf>
    <xf borderId="11" fillId="0" fontId="13" numFmtId="0" xfId="0" applyAlignment="1" applyBorder="1" applyFont="1">
      <alignment horizontal="left" readingOrder="0" shrinkToFit="0" vertical="top" wrapText="1"/>
    </xf>
    <xf borderId="11" fillId="0" fontId="13" numFmtId="0" xfId="0" applyAlignment="1" applyBorder="1" applyFont="1">
      <alignment readingOrder="0" shrinkToFit="0" wrapText="1"/>
    </xf>
    <xf borderId="11" fillId="0" fontId="20" numFmtId="0" xfId="0" applyAlignment="1" applyBorder="1" applyFont="1">
      <alignment horizontal="left" readingOrder="0" shrinkToFit="0" vertical="top" wrapText="1"/>
    </xf>
    <xf borderId="11" fillId="0" fontId="20" numFmtId="0" xfId="0" applyAlignment="1" applyBorder="1" applyFont="1">
      <alignment readingOrder="0" shrinkToFit="0" vertical="top" wrapText="1"/>
    </xf>
    <xf borderId="11" fillId="0" fontId="22" numFmtId="0" xfId="0" applyAlignment="1" applyBorder="1" applyFont="1">
      <alignment horizontal="left" readingOrder="0" shrinkToFit="0" vertical="bottom" wrapText="0"/>
    </xf>
    <xf borderId="11" fillId="0" fontId="20" numFmtId="0" xfId="0" applyAlignment="1" applyBorder="1" applyFont="1">
      <alignment readingOrder="0" shrinkToFit="0" wrapText="1"/>
    </xf>
    <xf borderId="11" fillId="0" fontId="13" numFmtId="0" xfId="0" applyAlignment="1" applyBorder="1" applyFont="1">
      <alignment shrinkToFit="0" vertical="top" wrapText="1"/>
    </xf>
    <xf borderId="11" fillId="0" fontId="13" numFmtId="0" xfId="0" applyAlignment="1" applyBorder="1" applyFont="1">
      <alignment horizontal="center" readingOrder="0" shrinkToFit="0" vertical="top" wrapText="1"/>
    </xf>
    <xf borderId="11" fillId="0" fontId="20" numFmtId="0" xfId="0" applyAlignment="1" applyBorder="1" applyFont="1">
      <alignment horizontal="center" readingOrder="0" shrinkToFit="0" vertical="top" wrapText="1"/>
    </xf>
    <xf borderId="11" fillId="0" fontId="22" numFmtId="0" xfId="0" applyAlignment="1" applyBorder="1" applyFont="1">
      <alignment readingOrder="0" shrinkToFit="0" vertical="bottom" wrapText="0"/>
    </xf>
    <xf borderId="11" fillId="0" fontId="19" numFmtId="0" xfId="0" applyAlignment="1" applyBorder="1" applyFont="1">
      <alignment shrinkToFit="0" vertical="center" wrapText="1"/>
    </xf>
    <xf borderId="11" fillId="0" fontId="19" numFmtId="0" xfId="0" applyAlignment="1" applyBorder="1" applyFont="1">
      <alignment readingOrder="0" shrinkToFit="0" vertical="center" wrapText="1"/>
    </xf>
    <xf borderId="11" fillId="9" fontId="23" numFmtId="0" xfId="0" applyAlignment="1" applyBorder="1" applyFill="1" applyFont="1">
      <alignment horizontal="center"/>
    </xf>
    <xf borderId="11" fillId="0" fontId="13" numFmtId="0" xfId="0" applyAlignment="1" applyBorder="1" applyFont="1">
      <alignment horizontal="center" shrinkToFit="0" vertical="top" wrapText="1"/>
    </xf>
    <xf borderId="11" fillId="0" fontId="13" numFmtId="0" xfId="0" applyAlignment="1" applyBorder="1" applyFont="1">
      <alignment readingOrder="0" shrinkToFit="0" vertical="bottom" wrapText="1"/>
    </xf>
    <xf borderId="4" fillId="0" fontId="20" numFmtId="0" xfId="0" applyAlignment="1" applyBorder="1" applyFont="1">
      <alignment horizontal="center" shrinkToFit="0" vertical="top" wrapText="1"/>
    </xf>
    <xf borderId="4" fillId="0" fontId="20" numFmtId="0" xfId="0" applyAlignment="1" applyBorder="1" applyFont="1">
      <alignment shrinkToFit="0" wrapText="1"/>
    </xf>
    <xf borderId="0" fillId="0" fontId="20" numFmtId="0" xfId="0" applyAlignment="1" applyFont="1">
      <alignment shrinkToFit="0" vertical="top" wrapText="1"/>
    </xf>
    <xf borderId="0" fillId="0" fontId="20" numFmtId="0" xfId="0" applyAlignment="1" applyFont="1">
      <alignment shrinkToFit="0" wrapText="1"/>
    </xf>
  </cellXfs>
  <cellStyles count="1">
    <cellStyle xfId="0" name="Normal" builtinId="0"/>
  </cellStyles>
  <dxfs count="17">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border>
        <left style="thin">
          <color theme="0"/>
        </left>
        <right style="thin">
          <color theme="0"/>
        </right>
        <top style="thin">
          <color theme="0"/>
        </top>
        <bottom style="thin">
          <color theme="0"/>
        </bottom>
      </border>
    </dxf>
    <dxf>
      <font/>
      <fill>
        <patternFill patternType="solid">
          <fgColor theme="6"/>
          <bgColor theme="6"/>
        </patternFill>
      </fill>
      <border/>
    </dxf>
    <dxf>
      <font/>
      <fill>
        <patternFill patternType="solid">
          <fgColor rgb="FFEAF1DD"/>
          <bgColor rgb="FFEAF1DD"/>
        </patternFill>
      </fill>
      <border/>
    </dxf>
    <dxf>
      <border>
        <left style="thin">
          <color theme="6"/>
        </left>
        <right style="thin">
          <color theme="6"/>
        </right>
        <top style="thin">
          <color theme="6"/>
        </top>
        <bottom style="thin">
          <color theme="6"/>
        </bottom>
      </border>
    </dxf>
    <dxf>
      <font/>
      <fill>
        <patternFill patternType="solid">
          <fgColor theme="9"/>
          <bgColor theme="9"/>
        </patternFill>
      </fill>
      <border/>
    </dxf>
    <dxf>
      <font/>
      <fill>
        <patternFill patternType="solid">
          <fgColor rgb="FFFDE9D9"/>
          <bgColor rgb="FFFDE9D9"/>
        </patternFill>
      </fill>
      <border/>
    </dxf>
    <dxf>
      <border>
        <left style="thin">
          <color theme="9"/>
        </left>
        <right style="thin">
          <color theme="9"/>
        </right>
        <top style="thin">
          <color theme="9"/>
        </top>
        <bottom style="thin">
          <color theme="9"/>
        </bottom>
      </border>
    </dxf>
    <dxf>
      <font>
        <b/>
        <color rgb="FF9C0006"/>
      </font>
      <fill>
        <patternFill patternType="solid">
          <fgColor rgb="FFFFC7CE"/>
          <bgColor rgb="FFFFC7CE"/>
        </patternFill>
      </fill>
      <border/>
    </dxf>
    <dxf>
      <font>
        <b/>
        <color rgb="FF006100"/>
      </font>
      <fill>
        <patternFill patternType="solid">
          <fgColor rgb="FFC6EFCE"/>
          <bgColor rgb="FFC6EF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FFFFFF"/>
          <bgColor rgb="FFFFFFFF"/>
        </patternFill>
      </fill>
      <border/>
    </dxf>
    <dxf>
      <font/>
      <fill>
        <patternFill patternType="solid">
          <fgColor rgb="FFF6F8F9"/>
          <bgColor rgb="FFF6F8F9"/>
        </patternFill>
      </fill>
      <border/>
    </dxf>
  </dxfs>
  <tableStyles count="25">
    <tableStyle count="4" pivot="0" name="LISTA COMPROBACION CU-3-style">
      <tableStyleElement dxfId="1" type="headerRow"/>
      <tableStyleElement dxfId="2" type="firstRowStripe"/>
      <tableStyleElement dxfId="3" type="secondRowStripe"/>
      <tableStyleElement dxfId="4" size="0" type="wholeTable"/>
    </tableStyle>
    <tableStyle count="4" pivot="0" name="LISTA COMPROBACION CU-1-style">
      <tableStyleElement dxfId="1" type="headerRow"/>
      <tableStyleElement dxfId="2" type="firstRowStripe"/>
      <tableStyleElement dxfId="3" type="secondRowStripe"/>
      <tableStyleElement dxfId="4" size="0" type="wholeTable"/>
    </tableStyle>
    <tableStyle count="4" pivot="0" name="LISTA COMPROBACION CU-2-style">
      <tableStyleElement dxfId="1" type="headerRow"/>
      <tableStyleElement dxfId="2" type="firstRowStripe"/>
      <tableStyleElement dxfId="3" type="secondRowStripe"/>
      <tableStyleElement dxfId="4" size="0" type="wholeTable"/>
    </tableStyle>
    <tableStyle count="4" pivot="0" name="LISTA COMPROBACION CU-2-style 2">
      <tableStyleElement dxfId="5" type="headerRow"/>
      <tableStyleElement dxfId="6" type="firstRowStripe"/>
      <tableStyleElement dxfId="3" type="secondRowStripe"/>
      <tableStyleElement dxfId="7" size="0" type="wholeTable"/>
    </tableStyle>
    <tableStyle count="4" pivot="0" name="LISTA COMPROBACION CU-3-style 2">
      <tableStyleElement dxfId="5" type="headerRow"/>
      <tableStyleElement dxfId="6" type="firstRowStripe"/>
      <tableStyleElement dxfId="3" type="secondRowStripe"/>
      <tableStyleElement dxfId="7" size="0" type="wholeTable"/>
    </tableStyle>
    <tableStyle count="4" pivot="0" name="LISTA COMPROBACION CU-1-style 2">
      <tableStyleElement dxfId="5" type="headerRow"/>
      <tableStyleElement dxfId="6" type="firstRowStripe"/>
      <tableStyleElement dxfId="3" type="secondRowStripe"/>
      <tableStyleElement dxfId="7" size="0" type="wholeTable"/>
    </tableStyle>
    <tableStyle count="4" pivot="0" name="LISTA COMPROBACION CU-2-style 3">
      <tableStyleElement dxfId="8" type="headerRow"/>
      <tableStyleElement dxfId="9" type="firstRowStripe"/>
      <tableStyleElement dxfId="3" type="secondRowStripe"/>
      <tableStyleElement dxfId="10" size="0" type="wholeTable"/>
    </tableStyle>
    <tableStyle count="4" pivot="0" name="LISTA COMPROBACION CU-1-style 3">
      <tableStyleElement dxfId="8" type="headerRow"/>
      <tableStyleElement dxfId="9" type="firstRowStripe"/>
      <tableStyleElement dxfId="3" type="secondRowStripe"/>
      <tableStyleElement dxfId="10" size="0" type="wholeTable"/>
    </tableStyle>
    <tableStyle count="4" pivot="0" name="LISTA COMPROBACION CU-3-style 3">
      <tableStyleElement dxfId="8" type="headerRow"/>
      <tableStyleElement dxfId="9" type="firstRowStripe"/>
      <tableStyleElement dxfId="3" type="secondRowStripe"/>
      <tableStyleElement dxfId="10" size="0" type="wholeTable"/>
    </tableStyle>
    <tableStyle count="4" pivot="0" name="LISTA COMPROBACION CU-4-style">
      <tableStyleElement dxfId="1" type="headerRow"/>
      <tableStyleElement dxfId="2" type="firstRowStripe"/>
      <tableStyleElement dxfId="3" type="secondRowStripe"/>
      <tableStyleElement dxfId="4" size="0" type="wholeTable"/>
    </tableStyle>
    <tableStyle count="4" pivot="0" name="LISTA COMPROBACION CU-4-style 2">
      <tableStyleElement dxfId="5" type="headerRow"/>
      <tableStyleElement dxfId="6" type="firstRowStripe"/>
      <tableStyleElement dxfId="3" type="secondRowStripe"/>
      <tableStyleElement dxfId="7" size="0" type="wholeTable"/>
    </tableStyle>
    <tableStyle count="4" pivot="0" name="LISTA COMPROBACION CU-4-style 3">
      <tableStyleElement dxfId="8" type="headerRow"/>
      <tableStyleElement dxfId="9" type="firstRowStripe"/>
      <tableStyleElement dxfId="3" type="secondRowStripe"/>
      <tableStyleElement dxfId="10" size="0" type="wholeTable"/>
    </tableStyle>
    <tableStyle count="4" pivot="0" name="LISTA COMPROBACION CU-5-style">
      <tableStyleElement dxfId="1" type="headerRow"/>
      <tableStyleElement dxfId="2" type="firstRowStripe"/>
      <tableStyleElement dxfId="3" type="secondRowStripe"/>
      <tableStyleElement dxfId="4" size="0" type="wholeTable"/>
    </tableStyle>
    <tableStyle count="4" pivot="0" name="LISTA COMPROBACION CU-5-style 2">
      <tableStyleElement dxfId="5" type="headerRow"/>
      <tableStyleElement dxfId="6" type="firstRowStripe"/>
      <tableStyleElement dxfId="3" type="secondRowStripe"/>
      <tableStyleElement dxfId="7" size="0" type="wholeTable"/>
    </tableStyle>
    <tableStyle count="4" pivot="0" name="LISTA COMPROBACION CU-5-style 3">
      <tableStyleElement dxfId="8" type="headerRow"/>
      <tableStyleElement dxfId="9" type="firstRowStripe"/>
      <tableStyleElement dxfId="3" type="secondRowStripe"/>
      <tableStyleElement dxfId="10" size="0" type="wholeTable"/>
    </tableStyle>
    <tableStyle count="4" pivot="0" name="LISTA COMPROBACION CU-6-style">
      <tableStyleElement dxfId="1" type="headerRow"/>
      <tableStyleElement dxfId="2" type="firstRowStripe"/>
      <tableStyleElement dxfId="3" type="secondRowStripe"/>
      <tableStyleElement dxfId="4" size="0" type="wholeTable"/>
    </tableStyle>
    <tableStyle count="4" pivot="0" name="LISTA COMPROBACION CU-6-style 2">
      <tableStyleElement dxfId="5" type="headerRow"/>
      <tableStyleElement dxfId="6" type="firstRowStripe"/>
      <tableStyleElement dxfId="3" type="secondRowStripe"/>
      <tableStyleElement dxfId="7" size="0" type="wholeTable"/>
    </tableStyle>
    <tableStyle count="4" pivot="0" name="LISTA COMPROBACION CU-6-style 3">
      <tableStyleElement dxfId="8" type="headerRow"/>
      <tableStyleElement dxfId="9" type="firstRowStripe"/>
      <tableStyleElement dxfId="3" type="secondRowStripe"/>
      <tableStyleElement dxfId="10" size="0" type="wholeTable"/>
    </tableStyle>
    <tableStyle count="4" pivot="0" name="LISTA COMPROBACION CU-7-style">
      <tableStyleElement dxfId="1" type="headerRow"/>
      <tableStyleElement dxfId="2" type="firstRowStripe"/>
      <tableStyleElement dxfId="3" type="secondRowStripe"/>
      <tableStyleElement dxfId="4" size="0" type="wholeTable"/>
    </tableStyle>
    <tableStyle count="4" pivot="0" name="LISTA COMPROBACION CU-7-style 2">
      <tableStyleElement dxfId="5" type="headerRow"/>
      <tableStyleElement dxfId="6" type="firstRowStripe"/>
      <tableStyleElement dxfId="3" type="secondRowStripe"/>
      <tableStyleElement dxfId="7" size="0" type="wholeTable"/>
    </tableStyle>
    <tableStyle count="4" pivot="0" name="LISTA COMPROBACION CU-7-style 3">
      <tableStyleElement dxfId="8" type="headerRow"/>
      <tableStyleElement dxfId="9" type="firstRowStripe"/>
      <tableStyleElement dxfId="3" type="secondRowStripe"/>
      <tableStyleElement dxfId="10" size="0" type="wholeTable"/>
    </tableStyle>
    <tableStyle count="4" pivot="0" name="LISTA COMPROBACION CU-8-style">
      <tableStyleElement dxfId="1" type="headerRow"/>
      <tableStyleElement dxfId="2" type="firstRowStripe"/>
      <tableStyleElement dxfId="3" type="secondRowStripe"/>
      <tableStyleElement dxfId="4" size="0" type="wholeTable"/>
    </tableStyle>
    <tableStyle count="4" pivot="0" name="LISTA COMPROBACION CU-8-style 2">
      <tableStyleElement dxfId="5" type="headerRow"/>
      <tableStyleElement dxfId="6" type="firstRowStripe"/>
      <tableStyleElement dxfId="3" type="secondRowStripe"/>
      <tableStyleElement dxfId="7" size="0" type="wholeTable"/>
    </tableStyle>
    <tableStyle count="4" pivot="0" name="LISTA COMPROBACION CU-8-style 3">
      <tableStyleElement dxfId="8" type="headerRow"/>
      <tableStyleElement dxfId="9" type="firstRowStripe"/>
      <tableStyleElement dxfId="3" type="secondRowStripe"/>
      <tableStyleElement dxfId="10" size="0" type="wholeTable"/>
    </tableStyle>
    <tableStyle count="2" pivot="0" name="RECOMENDACIONES - CU-7-style">
      <tableStyleElement dxfId="15" type="firstRowStripe"/>
      <tableStyleElement dxfId="16"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CU-1'!$B$41:$B$43</c:f>
            </c:strRef>
          </c:cat>
          <c:val>
            <c:numRef>
              <c:f>'LISTA COMPROBACION CU-1'!$C$41:$C$43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CU-2'!$B$41:$B$43</c:f>
            </c:strRef>
          </c:cat>
          <c:val>
            <c:numRef>
              <c:f>'LISTA COMPROBACION CU-2'!$C$41:$C$43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CU-3'!$B$41:$B$43</c:f>
            </c:strRef>
          </c:cat>
          <c:val>
            <c:numRef>
              <c:f>'LISTA COMPROBACION CU-3'!$C$41:$C$43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CU-4'!$B$41:$B$43</c:f>
            </c:strRef>
          </c:cat>
          <c:val>
            <c:numRef>
              <c:f>'LISTA COMPROBACION CU-4'!$C$41:$C$43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CU-5'!$B$41:$B$43</c:f>
            </c:strRef>
          </c:cat>
          <c:val>
            <c:numRef>
              <c:f>'LISTA COMPROBACION CU-5'!$C$41:$C$43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CU-6'!$B$41:$B$43</c:f>
            </c:strRef>
          </c:cat>
          <c:val>
            <c:numRef>
              <c:f>'LISTA COMPROBACION CU-6'!$C$41:$C$43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CU-7'!$B$41:$B$43</c:f>
            </c:strRef>
          </c:cat>
          <c:val>
            <c:numRef>
              <c:f>'LISTA COMPROBACION CU-7'!$C$41:$C$43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CU-8'!$B$41:$B$43</c:f>
            </c:strRef>
          </c:cat>
          <c:val>
            <c:numRef>
              <c:f>'LISTA COMPROBACION CU-8'!$C$41:$C$43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300378560"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49126550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365300306"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575979680"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469659382"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540191012"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830274812"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755499782"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2">
  <tableColumns count="4">
    <tableColumn name="No." id="1"/>
    <tableColumn name="Pregunta" id="2"/>
    <tableColumn name="SI" id="3"/>
    <tableColumn name="NO " id="4"/>
  </tableColumns>
  <tableStyleInfo name="LISTA COMPROBACION CU-1-style" showColumnStripes="0" showFirstColumn="1" showLastColumn="1" showRowStripes="1"/>
</table>
</file>

<file path=xl/tables/table2.xml><?xml version="1.0" encoding="utf-8"?>
<table xmlns="http://schemas.openxmlformats.org/spreadsheetml/2006/main" ref="A21:D26" displayName="Table_2" name="Table_2" id="4">
  <tableColumns count="4">
    <tableColumn name="No." id="1"/>
    <tableColumn name="Pregunta" id="2"/>
    <tableColumn name="SI" id="3"/>
    <tableColumn name="NO " id="4"/>
  </tableColumns>
  <tableStyleInfo name="LISTA COMPROBACION CU-1-style 2" showColumnStripes="0" showFirstColumn="1" showLastColumn="1" showRowStripes="1"/>
</table>
</file>

<file path=xl/tables/table3.xml><?xml version="1.0" encoding="utf-8"?>
<table xmlns="http://schemas.openxmlformats.org/spreadsheetml/2006/main" ref="A31:D34" displayName="Table_3" name="Table_3" id="9">
  <tableColumns count="4">
    <tableColumn name="No." id="1"/>
    <tableColumn name="Pregunta" id="2"/>
    <tableColumn name="SI" id="3"/>
    <tableColumn name="NO " id="4"/>
  </tableColumns>
  <tableStyleInfo name="LISTA COMPROBACION CU-1-style 3" showColumnStripes="0" showFirstColumn="1" showLastColumn="1" showRowStripes="1"/>
</table>
</file>

<file path=xl/tables/table4.xml><?xml version="1.0" encoding="utf-8"?>
<table xmlns="http://schemas.openxmlformats.org/spreadsheetml/2006/main" ref="A7:D16" displayName="Table_4" name="Table_4" id="1">
  <tableColumns count="4">
    <tableColumn name="No." id="1"/>
    <tableColumn name="Pregunta" id="2"/>
    <tableColumn name="SI" id="3"/>
    <tableColumn name="NO " id="4"/>
  </tableColumns>
  <tableStyleInfo name="LISTA COMPROBACION CU-2-style" showColumnStripes="0" showFirstColumn="1" showLastColumn="1" showRowStripes="1"/>
</table>
</file>

<file path=xl/tables/table5.xml><?xml version="1.0" encoding="utf-8"?>
<table xmlns="http://schemas.openxmlformats.org/spreadsheetml/2006/main" ref="A21:D26" displayName="Table_5" name="Table_5" id="6">
  <tableColumns count="4">
    <tableColumn name="No." id="1"/>
    <tableColumn name="Pregunta" id="2"/>
    <tableColumn name="SI" id="3"/>
    <tableColumn name="NO " id="4"/>
  </tableColumns>
  <tableStyleInfo name="LISTA COMPROBACION CU-2-style 2" showColumnStripes="0" showFirstColumn="1" showLastColumn="1" showRowStripes="1"/>
</table>
</file>

<file path=xl/tables/table6.xml><?xml version="1.0" encoding="utf-8"?>
<table xmlns="http://schemas.openxmlformats.org/spreadsheetml/2006/main" ref="A31:D34" displayName="Table_6" name="Table_6" id="7">
  <tableColumns count="4">
    <tableColumn name="No." id="1"/>
    <tableColumn name="Pregunta" id="2"/>
    <tableColumn name="SI" id="3"/>
    <tableColumn name="NO " id="4"/>
  </tableColumns>
  <tableStyleInfo name="LISTA COMPROBACION CU-2-style 3" showColumnStripes="0" showFirstColumn="1" showLastColumn="1" showRowStripes="1"/>
</table>
</file>

<file path=xl/tables/table7.xml><?xml version="1.0" encoding="utf-8"?>
<table xmlns="http://schemas.openxmlformats.org/spreadsheetml/2006/main" ref="A7:D16" displayName="Table_22" name="Table_22" id="3">
  <tableColumns count="4">
    <tableColumn name="No." id="1"/>
    <tableColumn name="Pregunta" id="2"/>
    <tableColumn name="SI" id="3"/>
    <tableColumn name="NO " id="4"/>
  </tableColumns>
  <tableStyleInfo name="LISTA COMPROBACION CU-3-style" showColumnStripes="0" showFirstColumn="1" showLastColumn="1" showRowStripes="1"/>
</table>
</file>

<file path=xl/tables/table8.xml><?xml version="1.0" encoding="utf-8"?>
<table xmlns="http://schemas.openxmlformats.org/spreadsheetml/2006/main" ref="A21:D26" displayName="Table_23" name="Table_23" id="5">
  <tableColumns count="4">
    <tableColumn name="No." id="1"/>
    <tableColumn name="Pregunta" id="2"/>
    <tableColumn name="SI" id="3"/>
    <tableColumn name="NO " id="4"/>
  </tableColumns>
  <tableStyleInfo name="LISTA COMPROBACION CU-3-style 2" showColumnStripes="0" showFirstColumn="1" showLastColumn="1" showRowStripes="1"/>
</table>
</file>

<file path=xl/tables/table9.xml><?xml version="1.0" encoding="utf-8"?>
<table xmlns="http://schemas.openxmlformats.org/spreadsheetml/2006/main" ref="A31:D34" displayName="Table_21" name="Table_21" id="8">
  <tableColumns count="4">
    <tableColumn name="No." id="1"/>
    <tableColumn name="Pregunta" id="2"/>
    <tableColumn name="SI" id="3"/>
    <tableColumn name="NO " id="4"/>
  </tableColumns>
  <tableStyleInfo name="LISTA COMPROBACION CU-3-style 3" showColumnStripes="0" showFirstColumn="1" showLastColumn="1" showRowStripes="1"/>
</table>
</file>

<file path=xl/tables/table10.xml><?xml version="1.0" encoding="utf-8"?>
<table xmlns="http://schemas.openxmlformats.org/spreadsheetml/2006/main" ref="A7:D16" displayName="Table_7" name="Table_7" id="10">
  <tableColumns count="4">
    <tableColumn name="No." id="1"/>
    <tableColumn name="Pregunta" id="2"/>
    <tableColumn name="SI" id="3"/>
    <tableColumn name="NO " id="4"/>
  </tableColumns>
  <tableStyleInfo name="LISTA COMPROBACION CU-4-style" showColumnStripes="0" showFirstColumn="1" showLastColumn="1" showRowStripes="1"/>
</table>
</file>

<file path=xl/tables/table11.xml><?xml version="1.0" encoding="utf-8"?>
<table xmlns="http://schemas.openxmlformats.org/spreadsheetml/2006/main" ref="A21:D26" displayName="Table_8" name="Table_8" id="11">
  <tableColumns count="4">
    <tableColumn name="No." id="1"/>
    <tableColumn name="Pregunta" id="2"/>
    <tableColumn name="SI" id="3"/>
    <tableColumn name="NO " id="4"/>
  </tableColumns>
  <tableStyleInfo name="LISTA COMPROBACION CU-4-style 2" showColumnStripes="0" showFirstColumn="1" showLastColumn="1" showRowStripes="1"/>
</table>
</file>

<file path=xl/tables/table12.xml><?xml version="1.0" encoding="utf-8"?>
<table xmlns="http://schemas.openxmlformats.org/spreadsheetml/2006/main" ref="A31:D34" displayName="Table_9" name="Table_9" id="12">
  <tableColumns count="4">
    <tableColumn name="No." id="1"/>
    <tableColumn name="Pregunta" id="2"/>
    <tableColumn name="SI" id="3"/>
    <tableColumn name="NO " id="4"/>
  </tableColumns>
  <tableStyleInfo name="LISTA COMPROBACION CU-4-style 3" showColumnStripes="0" showFirstColumn="1" showLastColumn="1" showRowStripes="1"/>
</table>
</file>

<file path=xl/tables/table13.xml><?xml version="1.0" encoding="utf-8"?>
<table xmlns="http://schemas.openxmlformats.org/spreadsheetml/2006/main" ref="A7:D16" displayName="Table_18" name="Table_18" id="13">
  <tableColumns count="4">
    <tableColumn name="No." id="1"/>
    <tableColumn name="Pregunta" id="2"/>
    <tableColumn name="SI" id="3"/>
    <tableColumn name="NO " id="4"/>
  </tableColumns>
  <tableStyleInfo name="LISTA COMPROBACION CU-5-style" showColumnStripes="0" showFirstColumn="1" showLastColumn="1" showRowStripes="1"/>
</table>
</file>

<file path=xl/tables/table14.xml><?xml version="1.0" encoding="utf-8"?>
<table xmlns="http://schemas.openxmlformats.org/spreadsheetml/2006/main" ref="A21:D26" displayName="Table_20" name="Table_20" id="14">
  <tableColumns count="4">
    <tableColumn name="No." id="1"/>
    <tableColumn name="Pregunta" id="2"/>
    <tableColumn name="SI" id="3"/>
    <tableColumn name="NO " id="4"/>
  </tableColumns>
  <tableStyleInfo name="LISTA COMPROBACION CU-5-style 2" showColumnStripes="0" showFirstColumn="1" showLastColumn="1" showRowStripes="1"/>
</table>
</file>

<file path=xl/tables/table15.xml><?xml version="1.0" encoding="utf-8"?>
<table xmlns="http://schemas.openxmlformats.org/spreadsheetml/2006/main" ref="A31:D34" displayName="Table_19" name="Table_19" id="15">
  <tableColumns count="4">
    <tableColumn name="No." id="1"/>
    <tableColumn name="Pregunta" id="2"/>
    <tableColumn name="SI" id="3"/>
    <tableColumn name="NO " id="4"/>
  </tableColumns>
  <tableStyleInfo name="LISTA COMPROBACION CU-5-style 3" showColumnStripes="0" showFirstColumn="1" showLastColumn="1" showRowStripes="1"/>
</table>
</file>

<file path=xl/tables/table16.xml><?xml version="1.0" encoding="utf-8"?>
<table xmlns="http://schemas.openxmlformats.org/spreadsheetml/2006/main" ref="A7:D16" displayName="Table_15" name="Table_15" id="16">
  <tableColumns count="4">
    <tableColumn name="No." id="1"/>
    <tableColumn name="Pregunta" id="2"/>
    <tableColumn name="SI" id="3"/>
    <tableColumn name="NO " id="4"/>
  </tableColumns>
  <tableStyleInfo name="LISTA COMPROBACION CU-6-style" showColumnStripes="0" showFirstColumn="1" showLastColumn="1" showRowStripes="1"/>
</table>
</file>

<file path=xl/tables/table17.xml><?xml version="1.0" encoding="utf-8"?>
<table xmlns="http://schemas.openxmlformats.org/spreadsheetml/2006/main" ref="A21:D26" displayName="Table_17" name="Table_17" id="17">
  <tableColumns count="4">
    <tableColumn name="No." id="1"/>
    <tableColumn name="Pregunta" id="2"/>
    <tableColumn name="SI" id="3"/>
    <tableColumn name="NO " id="4"/>
  </tableColumns>
  <tableStyleInfo name="LISTA COMPROBACION CU-6-style 2" showColumnStripes="0" showFirstColumn="1" showLastColumn="1" showRowStripes="1"/>
</table>
</file>

<file path=xl/tables/table18.xml><?xml version="1.0" encoding="utf-8"?>
<table xmlns="http://schemas.openxmlformats.org/spreadsheetml/2006/main" ref="A31:D34" displayName="Table_16" name="Table_16" id="18">
  <tableColumns count="4">
    <tableColumn name="No." id="1"/>
    <tableColumn name="Pregunta" id="2"/>
    <tableColumn name="SI" id="3"/>
    <tableColumn name="NO " id="4"/>
  </tableColumns>
  <tableStyleInfo name="LISTA COMPROBACION CU-6-style 3" showColumnStripes="0" showFirstColumn="1" showLastColumn="1" showRowStripes="1"/>
</table>
</file>

<file path=xl/tables/table19.xml><?xml version="1.0" encoding="utf-8"?>
<table xmlns="http://schemas.openxmlformats.org/spreadsheetml/2006/main" ref="A7:D16" displayName="Table_12" name="Table_12" id="19">
  <tableColumns count="4">
    <tableColumn name="No." id="1"/>
    <tableColumn name="Pregunta" id="2"/>
    <tableColumn name="SI" id="3"/>
    <tableColumn name="NO " id="4"/>
  </tableColumns>
  <tableStyleInfo name="LISTA COMPROBACION CU-7-style" showColumnStripes="0" showFirstColumn="1" showLastColumn="1" showRowStripes="1"/>
</table>
</file>

<file path=xl/tables/table20.xml><?xml version="1.0" encoding="utf-8"?>
<table xmlns="http://schemas.openxmlformats.org/spreadsheetml/2006/main" ref="A21:D26" displayName="Table_13" name="Table_13" id="20">
  <tableColumns count="4">
    <tableColumn name="No." id="1"/>
    <tableColumn name="Pregunta" id="2"/>
    <tableColumn name="SI" id="3"/>
    <tableColumn name="NO " id="4"/>
  </tableColumns>
  <tableStyleInfo name="LISTA COMPROBACION CU-7-style 2" showColumnStripes="0" showFirstColumn="1" showLastColumn="1" showRowStripes="1"/>
</table>
</file>

<file path=xl/tables/table21.xml><?xml version="1.0" encoding="utf-8"?>
<table xmlns="http://schemas.openxmlformats.org/spreadsheetml/2006/main" ref="A31:D34" displayName="Table_14" name="Table_14" id="21">
  <tableColumns count="4">
    <tableColumn name="No." id="1"/>
    <tableColumn name="Pregunta" id="2"/>
    <tableColumn name="SI" id="3"/>
    <tableColumn name="NO " id="4"/>
  </tableColumns>
  <tableStyleInfo name="LISTA COMPROBACION CU-7-style 3" showColumnStripes="0" showFirstColumn="1" showLastColumn="1" showRowStripes="1"/>
</table>
</file>

<file path=xl/tables/table22.xml><?xml version="1.0" encoding="utf-8"?>
<table xmlns="http://schemas.openxmlformats.org/spreadsheetml/2006/main" ref="A7:D16" displayName="Table" name="Table" id="22">
  <tableColumns count="4">
    <tableColumn name="No." id="1"/>
    <tableColumn name="Pregunta" id="2"/>
    <tableColumn name="SI" id="3"/>
    <tableColumn name="NO " id="4"/>
  </tableColumns>
  <tableStyleInfo name="LISTA COMPROBACION CU-8-style" showColumnStripes="0" showFirstColumn="1" showLastColumn="1" showRowStripes="1"/>
</table>
</file>

<file path=xl/tables/table23.xml><?xml version="1.0" encoding="utf-8"?>
<table xmlns="http://schemas.openxmlformats.org/spreadsheetml/2006/main" ref="A21:D26" displayName="Table_11" name="Table_11" id="23">
  <tableColumns count="4">
    <tableColumn name="No." id="1"/>
    <tableColumn name="Pregunta" id="2"/>
    <tableColumn name="SI" id="3"/>
    <tableColumn name="NO " id="4"/>
  </tableColumns>
  <tableStyleInfo name="LISTA COMPROBACION CU-8-style 2" showColumnStripes="0" showFirstColumn="1" showLastColumn="1" showRowStripes="1"/>
</table>
</file>

<file path=xl/tables/table24.xml><?xml version="1.0" encoding="utf-8"?>
<table xmlns="http://schemas.openxmlformats.org/spreadsheetml/2006/main" ref="A31:D34" displayName="Table_10" name="Table_10" id="24">
  <tableColumns count="4">
    <tableColumn name="No." id="1"/>
    <tableColumn name="Pregunta" id="2"/>
    <tableColumn name="SI" id="3"/>
    <tableColumn name="NO " id="4"/>
  </tableColumns>
  <tableStyleInfo name="LISTA COMPROBACION CU-8-style 3" showColumnStripes="0" showFirstColumn="1" showLastColumn="1" showRowStripes="1"/>
</table>
</file>

<file path=xl/tables/table25.xml><?xml version="1.0" encoding="utf-8"?>
<table xmlns="http://schemas.openxmlformats.org/spreadsheetml/2006/main" headerRowCount="0" ref="A2:B5" displayName="Table_24" name="Table_24" id="25">
  <tableColumns count="2">
    <tableColumn name="Column1" id="1"/>
    <tableColumn name="Column2" id="2"/>
  </tableColumns>
  <tableStyleInfo name="RECOMENDACIONES - CU-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9" Type="http://schemas.openxmlformats.org/officeDocument/2006/relationships/table" Target="../tables/table12.xml"/><Relationship Id="rId7" Type="http://schemas.openxmlformats.org/officeDocument/2006/relationships/table" Target="../tables/table10.xml"/><Relationship Id="rId8"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86"/>
    <col customWidth="1" min="6" max="6" width="57.29"/>
    <col customWidth="1" min="7" max="7" width="9.86"/>
    <col customWidth="1" min="8" max="8" width="57.29"/>
    <col customWidth="1" min="9" max="9" width="9.86"/>
    <col customWidth="1" min="10" max="10" width="57.29"/>
    <col customWidth="1" min="11" max="11" width="9.86"/>
    <col customWidth="1" min="12" max="12" width="57.29"/>
    <col customWidth="1" min="13" max="13" width="9.86"/>
    <col customWidth="1" min="14" max="14" width="57.29"/>
    <col customWidth="1" min="15" max="15" width="9.86"/>
    <col customWidth="1" min="16" max="16" width="57.29"/>
    <col customWidth="1" min="17" max="17" width="9.86"/>
    <col customWidth="1" min="18" max="18" width="57.29"/>
    <col customWidth="1" min="19" max="19" width="9.86"/>
    <col customWidth="1" min="20" max="20" width="57.29"/>
  </cols>
  <sheetData>
    <row r="1" ht="14.25" customHeight="1">
      <c r="C1" s="1"/>
      <c r="J1" s="2"/>
    </row>
    <row r="2" ht="14.25" customHeight="1">
      <c r="C2" s="1"/>
      <c r="I2" s="2"/>
    </row>
    <row r="3" ht="30.0" customHeight="1">
      <c r="C3" s="3" t="s">
        <v>0</v>
      </c>
    </row>
    <row r="4" ht="30.0" customHeight="1"/>
    <row r="5" ht="30.0" customHeight="1">
      <c r="C5" s="3"/>
      <c r="D5" s="4" t="s">
        <v>1</v>
      </c>
      <c r="E5" s="5" t="s">
        <v>2</v>
      </c>
    </row>
    <row r="6" ht="55.5" customHeight="1">
      <c r="C6" s="1"/>
      <c r="E6" s="6" t="s">
        <v>3</v>
      </c>
      <c r="F6" s="7"/>
      <c r="G6" s="7"/>
      <c r="H6" s="7"/>
      <c r="I6" s="7"/>
      <c r="J6" s="7"/>
      <c r="K6" s="7"/>
      <c r="L6" s="7"/>
      <c r="M6" s="7"/>
      <c r="N6" s="7"/>
      <c r="O6" s="7"/>
      <c r="P6" s="7"/>
      <c r="Q6" s="7"/>
      <c r="R6" s="7"/>
      <c r="S6" s="7"/>
      <c r="T6" s="8"/>
    </row>
    <row r="7" ht="45.0" customHeight="1">
      <c r="B7" s="9" t="s">
        <v>4</v>
      </c>
      <c r="C7" s="10" t="s">
        <v>5</v>
      </c>
      <c r="D7" s="11"/>
      <c r="E7" s="12" t="s">
        <v>6</v>
      </c>
      <c r="F7" s="13" t="s">
        <v>7</v>
      </c>
      <c r="G7" s="12" t="s">
        <v>6</v>
      </c>
      <c r="H7" s="13" t="s">
        <v>8</v>
      </c>
      <c r="I7" s="12" t="s">
        <v>6</v>
      </c>
      <c r="J7" s="13" t="s">
        <v>9</v>
      </c>
      <c r="K7" s="12" t="s">
        <v>6</v>
      </c>
      <c r="L7" s="13" t="s">
        <v>10</v>
      </c>
      <c r="M7" s="12" t="s">
        <v>6</v>
      </c>
      <c r="N7" s="13" t="s">
        <v>11</v>
      </c>
      <c r="O7" s="12" t="s">
        <v>6</v>
      </c>
      <c r="P7" s="13" t="s">
        <v>12</v>
      </c>
      <c r="Q7" s="12" t="s">
        <v>6</v>
      </c>
      <c r="R7" s="13" t="s">
        <v>13</v>
      </c>
      <c r="S7" s="12" t="s">
        <v>6</v>
      </c>
      <c r="T7" s="13" t="s">
        <v>14</v>
      </c>
    </row>
    <row r="8" ht="60.0" customHeight="1">
      <c r="B8" s="14"/>
      <c r="C8" s="15"/>
      <c r="D8" s="16"/>
      <c r="E8" s="14"/>
      <c r="F8" s="14"/>
      <c r="G8" s="14"/>
      <c r="H8" s="14"/>
      <c r="I8" s="14"/>
      <c r="J8" s="14"/>
      <c r="K8" s="14"/>
      <c r="L8" s="14"/>
      <c r="M8" s="14"/>
      <c r="N8" s="14"/>
      <c r="O8" s="14"/>
      <c r="P8" s="14"/>
      <c r="Q8" s="14"/>
      <c r="R8" s="14"/>
      <c r="S8" s="14"/>
      <c r="T8" s="14"/>
    </row>
    <row r="9" ht="102.75" customHeight="1">
      <c r="B9" s="17">
        <v>1.0</v>
      </c>
      <c r="C9" s="18" t="s">
        <v>15</v>
      </c>
      <c r="D9" s="8"/>
      <c r="E9" s="19" t="s">
        <v>16</v>
      </c>
      <c r="F9" s="20" t="s">
        <v>17</v>
      </c>
      <c r="G9" s="21" t="s">
        <v>18</v>
      </c>
      <c r="H9" s="20" t="s">
        <v>19</v>
      </c>
      <c r="I9" s="19" t="s">
        <v>16</v>
      </c>
      <c r="J9" s="20" t="s">
        <v>17</v>
      </c>
      <c r="K9" s="19" t="s">
        <v>16</v>
      </c>
      <c r="L9" s="20" t="s">
        <v>17</v>
      </c>
      <c r="M9" s="19" t="s">
        <v>16</v>
      </c>
      <c r="N9" s="22" t="s">
        <v>20</v>
      </c>
      <c r="O9" s="19" t="s">
        <v>16</v>
      </c>
      <c r="P9" s="20" t="s">
        <v>17</v>
      </c>
      <c r="Q9" s="19" t="s">
        <v>16</v>
      </c>
      <c r="R9" s="20" t="s">
        <v>17</v>
      </c>
      <c r="S9" s="19" t="s">
        <v>16</v>
      </c>
      <c r="T9" s="20" t="s">
        <v>21</v>
      </c>
    </row>
    <row r="10" ht="96.75" customHeight="1">
      <c r="B10" s="17">
        <v>2.0</v>
      </c>
      <c r="C10" s="18" t="s">
        <v>22</v>
      </c>
      <c r="D10" s="8"/>
      <c r="E10" s="19" t="s">
        <v>16</v>
      </c>
      <c r="F10" s="20" t="s">
        <v>23</v>
      </c>
      <c r="G10" s="19" t="s">
        <v>16</v>
      </c>
      <c r="H10" s="20" t="s">
        <v>24</v>
      </c>
      <c r="I10" s="19" t="s">
        <v>16</v>
      </c>
      <c r="J10" s="20" t="s">
        <v>25</v>
      </c>
      <c r="K10" s="19" t="s">
        <v>16</v>
      </c>
      <c r="L10" s="20" t="s">
        <v>26</v>
      </c>
      <c r="M10" s="19" t="s">
        <v>16</v>
      </c>
      <c r="N10" s="20" t="s">
        <v>27</v>
      </c>
      <c r="O10" s="19" t="s">
        <v>16</v>
      </c>
      <c r="P10" s="20" t="s">
        <v>28</v>
      </c>
      <c r="Q10" s="19" t="s">
        <v>16</v>
      </c>
      <c r="R10" s="20" t="s">
        <v>29</v>
      </c>
      <c r="S10" s="19" t="s">
        <v>16</v>
      </c>
      <c r="T10" s="20" t="s">
        <v>30</v>
      </c>
    </row>
    <row r="11" ht="102.0" customHeight="1">
      <c r="B11" s="17">
        <v>3.0</v>
      </c>
      <c r="C11" s="18" t="s">
        <v>31</v>
      </c>
      <c r="D11" s="8"/>
      <c r="E11" s="21" t="s">
        <v>18</v>
      </c>
      <c r="F11" s="20" t="s">
        <v>32</v>
      </c>
      <c r="G11" s="19" t="s">
        <v>16</v>
      </c>
      <c r="H11" s="20" t="s">
        <v>33</v>
      </c>
      <c r="I11" s="21" t="s">
        <v>18</v>
      </c>
      <c r="J11" s="20" t="s">
        <v>34</v>
      </c>
      <c r="K11" s="19" t="s">
        <v>16</v>
      </c>
      <c r="L11" s="20" t="s">
        <v>35</v>
      </c>
      <c r="M11" s="21" t="s">
        <v>18</v>
      </c>
      <c r="N11" s="20" t="s">
        <v>36</v>
      </c>
      <c r="O11" s="21" t="s">
        <v>18</v>
      </c>
      <c r="P11" s="20" t="s">
        <v>37</v>
      </c>
      <c r="Q11" s="21" t="s">
        <v>18</v>
      </c>
      <c r="R11" s="20" t="s">
        <v>38</v>
      </c>
      <c r="S11" s="19" t="s">
        <v>16</v>
      </c>
      <c r="T11" s="20" t="s">
        <v>39</v>
      </c>
    </row>
    <row r="12" ht="79.5" customHeight="1">
      <c r="B12" s="17">
        <v>4.0</v>
      </c>
      <c r="C12" s="18" t="s">
        <v>40</v>
      </c>
      <c r="D12" s="8"/>
      <c r="E12" s="19" t="s">
        <v>16</v>
      </c>
      <c r="F12" s="20" t="s">
        <v>41</v>
      </c>
      <c r="G12" s="21" t="s">
        <v>18</v>
      </c>
      <c r="H12" s="20" t="s">
        <v>42</v>
      </c>
      <c r="I12" s="19" t="s">
        <v>16</v>
      </c>
      <c r="J12" s="20" t="s">
        <v>41</v>
      </c>
      <c r="K12" s="19" t="s">
        <v>16</v>
      </c>
      <c r="L12" s="20" t="s">
        <v>43</v>
      </c>
      <c r="M12" s="19" t="s">
        <v>16</v>
      </c>
      <c r="N12" s="20" t="s">
        <v>41</v>
      </c>
      <c r="O12" s="19" t="s">
        <v>16</v>
      </c>
      <c r="P12" s="20" t="s">
        <v>41</v>
      </c>
      <c r="Q12" s="19" t="s">
        <v>16</v>
      </c>
      <c r="R12" s="20" t="s">
        <v>41</v>
      </c>
      <c r="S12" s="19" t="s">
        <v>16</v>
      </c>
      <c r="T12" s="20" t="s">
        <v>44</v>
      </c>
    </row>
    <row r="13" ht="106.5" customHeight="1">
      <c r="B13" s="17">
        <v>5.0</v>
      </c>
      <c r="C13" s="18" t="s">
        <v>45</v>
      </c>
      <c r="D13" s="8"/>
      <c r="E13" s="19" t="s">
        <v>16</v>
      </c>
      <c r="F13" s="20" t="s">
        <v>46</v>
      </c>
      <c r="G13" s="19" t="s">
        <v>16</v>
      </c>
      <c r="H13" s="20" t="s">
        <v>47</v>
      </c>
      <c r="I13" s="19" t="s">
        <v>16</v>
      </c>
      <c r="J13" s="20" t="s">
        <v>48</v>
      </c>
      <c r="K13" s="19" t="s">
        <v>16</v>
      </c>
      <c r="L13" s="20" t="s">
        <v>49</v>
      </c>
      <c r="M13" s="19" t="s">
        <v>16</v>
      </c>
      <c r="N13" s="20" t="s">
        <v>50</v>
      </c>
      <c r="O13" s="19" t="s">
        <v>16</v>
      </c>
      <c r="P13" s="20" t="s">
        <v>51</v>
      </c>
      <c r="Q13" s="19" t="s">
        <v>16</v>
      </c>
      <c r="R13" s="20" t="s">
        <v>52</v>
      </c>
      <c r="S13" s="19" t="s">
        <v>16</v>
      </c>
      <c r="T13" s="20" t="s">
        <v>53</v>
      </c>
    </row>
    <row r="14" ht="111.75" customHeight="1">
      <c r="B14" s="17">
        <v>6.0</v>
      </c>
      <c r="C14" s="18" t="s">
        <v>54</v>
      </c>
      <c r="D14" s="8"/>
      <c r="E14" s="19" t="s">
        <v>16</v>
      </c>
      <c r="F14" s="20" t="s">
        <v>55</v>
      </c>
      <c r="G14" s="21" t="s">
        <v>18</v>
      </c>
      <c r="H14" s="20" t="s">
        <v>56</v>
      </c>
      <c r="I14" s="21" t="s">
        <v>18</v>
      </c>
      <c r="J14" s="20" t="s">
        <v>57</v>
      </c>
      <c r="K14" s="19" t="s">
        <v>16</v>
      </c>
      <c r="L14" s="20" t="s">
        <v>58</v>
      </c>
      <c r="M14" s="21" t="s">
        <v>18</v>
      </c>
      <c r="N14" s="20" t="s">
        <v>59</v>
      </c>
      <c r="O14" s="21" t="s">
        <v>18</v>
      </c>
      <c r="P14" s="20" t="s">
        <v>60</v>
      </c>
      <c r="Q14" s="21" t="s">
        <v>18</v>
      </c>
      <c r="R14" s="20" t="s">
        <v>61</v>
      </c>
      <c r="S14" s="19" t="s">
        <v>16</v>
      </c>
      <c r="T14" s="20" t="s">
        <v>62</v>
      </c>
    </row>
    <row r="15" ht="126.75" customHeight="1">
      <c r="B15" s="17">
        <v>7.0</v>
      </c>
      <c r="C15" s="18" t="s">
        <v>63</v>
      </c>
      <c r="D15" s="8"/>
      <c r="E15" s="21" t="s">
        <v>18</v>
      </c>
      <c r="F15" s="20" t="s">
        <v>64</v>
      </c>
      <c r="G15" s="21" t="s">
        <v>18</v>
      </c>
      <c r="H15" s="20" t="s">
        <v>65</v>
      </c>
      <c r="I15" s="21" t="s">
        <v>18</v>
      </c>
      <c r="J15" s="20" t="s">
        <v>66</v>
      </c>
      <c r="K15" s="21" t="s">
        <v>18</v>
      </c>
      <c r="L15" s="20" t="s">
        <v>67</v>
      </c>
      <c r="M15" s="21" t="s">
        <v>18</v>
      </c>
      <c r="N15" s="20" t="s">
        <v>68</v>
      </c>
      <c r="O15" s="21" t="s">
        <v>18</v>
      </c>
      <c r="P15" s="20" t="s">
        <v>69</v>
      </c>
      <c r="Q15" s="21" t="s">
        <v>18</v>
      </c>
      <c r="R15" s="20" t="s">
        <v>70</v>
      </c>
      <c r="S15" s="19" t="s">
        <v>16</v>
      </c>
      <c r="T15" s="20" t="s">
        <v>71</v>
      </c>
    </row>
    <row r="16" ht="121.5" customHeight="1">
      <c r="B16" s="17">
        <v>8.0</v>
      </c>
      <c r="C16" s="18" t="s">
        <v>72</v>
      </c>
      <c r="D16" s="8"/>
      <c r="E16" s="19" t="s">
        <v>16</v>
      </c>
      <c r="F16" s="20" t="s">
        <v>73</v>
      </c>
      <c r="G16" s="19" t="s">
        <v>16</v>
      </c>
      <c r="H16" s="20" t="s">
        <v>74</v>
      </c>
      <c r="I16" s="19" t="s">
        <v>16</v>
      </c>
      <c r="J16" s="20" t="s">
        <v>75</v>
      </c>
      <c r="K16" s="19" t="s">
        <v>16</v>
      </c>
      <c r="L16" s="20" t="s">
        <v>76</v>
      </c>
      <c r="M16" s="19" t="s">
        <v>16</v>
      </c>
      <c r="N16" s="20" t="s">
        <v>77</v>
      </c>
      <c r="O16" s="19" t="s">
        <v>16</v>
      </c>
      <c r="P16" s="20" t="s">
        <v>78</v>
      </c>
      <c r="Q16" s="19" t="s">
        <v>16</v>
      </c>
      <c r="R16" s="20" t="s">
        <v>79</v>
      </c>
      <c r="S16" s="19" t="s">
        <v>16</v>
      </c>
      <c r="T16" s="20" t="s">
        <v>80</v>
      </c>
    </row>
    <row r="17" ht="115.5" customHeight="1">
      <c r="B17" s="17">
        <v>9.0</v>
      </c>
      <c r="C17" s="18" t="s">
        <v>81</v>
      </c>
      <c r="D17" s="8"/>
      <c r="E17" s="19" t="s">
        <v>16</v>
      </c>
      <c r="F17" s="20" t="s">
        <v>82</v>
      </c>
      <c r="G17" s="19" t="s">
        <v>16</v>
      </c>
      <c r="H17" s="20" t="s">
        <v>83</v>
      </c>
      <c r="I17" s="19" t="s">
        <v>16</v>
      </c>
      <c r="J17" s="20" t="s">
        <v>84</v>
      </c>
      <c r="K17" s="21" t="s">
        <v>18</v>
      </c>
      <c r="L17" s="20" t="s">
        <v>85</v>
      </c>
      <c r="M17" s="19" t="s">
        <v>16</v>
      </c>
      <c r="N17" s="20" t="s">
        <v>86</v>
      </c>
      <c r="O17" s="19" t="s">
        <v>16</v>
      </c>
      <c r="P17" s="20" t="s">
        <v>87</v>
      </c>
      <c r="Q17" s="19" t="s">
        <v>16</v>
      </c>
      <c r="R17" s="20" t="s">
        <v>88</v>
      </c>
      <c r="S17" s="19" t="s">
        <v>16</v>
      </c>
      <c r="T17" s="20" t="s">
        <v>89</v>
      </c>
    </row>
    <row r="18" ht="110.25" customHeight="1">
      <c r="B18" s="17">
        <v>10.0</v>
      </c>
      <c r="C18" s="18" t="s">
        <v>90</v>
      </c>
      <c r="D18" s="8"/>
      <c r="E18" s="19" t="s">
        <v>16</v>
      </c>
      <c r="F18" s="20" t="s">
        <v>91</v>
      </c>
      <c r="G18" s="19" t="s">
        <v>16</v>
      </c>
      <c r="H18" s="20" t="s">
        <v>92</v>
      </c>
      <c r="I18" s="19" t="s">
        <v>16</v>
      </c>
      <c r="J18" s="20" t="s">
        <v>93</v>
      </c>
      <c r="K18" s="19" t="s">
        <v>16</v>
      </c>
      <c r="L18" s="20" t="s">
        <v>94</v>
      </c>
      <c r="M18" s="19" t="s">
        <v>16</v>
      </c>
      <c r="N18" s="20" t="s">
        <v>95</v>
      </c>
      <c r="O18" s="19" t="s">
        <v>16</v>
      </c>
      <c r="P18" s="20" t="s">
        <v>96</v>
      </c>
      <c r="Q18" s="19" t="s">
        <v>16</v>
      </c>
      <c r="R18" s="20" t="s">
        <v>97</v>
      </c>
      <c r="S18" s="19" t="s">
        <v>16</v>
      </c>
      <c r="T18" s="20" t="s">
        <v>98</v>
      </c>
    </row>
    <row r="19" ht="110.25" customHeight="1">
      <c r="B19" s="17">
        <v>11.0</v>
      </c>
      <c r="C19" s="18" t="s">
        <v>99</v>
      </c>
      <c r="D19" s="8"/>
      <c r="E19" s="19" t="s">
        <v>16</v>
      </c>
      <c r="F19" s="20" t="s">
        <v>100</v>
      </c>
      <c r="G19" s="19" t="s">
        <v>16</v>
      </c>
      <c r="H19" s="20" t="s">
        <v>101</v>
      </c>
      <c r="I19" s="19" t="s">
        <v>16</v>
      </c>
      <c r="J19" s="20" t="s">
        <v>102</v>
      </c>
      <c r="K19" s="19" t="s">
        <v>16</v>
      </c>
      <c r="L19" s="20" t="s">
        <v>103</v>
      </c>
      <c r="M19" s="19" t="s">
        <v>16</v>
      </c>
      <c r="N19" s="20" t="s">
        <v>104</v>
      </c>
      <c r="O19" s="19" t="s">
        <v>16</v>
      </c>
      <c r="P19" s="20" t="s">
        <v>105</v>
      </c>
      <c r="Q19" s="19" t="s">
        <v>16</v>
      </c>
      <c r="R19" s="20" t="s">
        <v>106</v>
      </c>
      <c r="S19" s="19" t="s">
        <v>16</v>
      </c>
      <c r="T19" s="20" t="s">
        <v>107</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G7:G8"/>
    <mergeCell ref="H7:H8"/>
    <mergeCell ref="I7:I8"/>
    <mergeCell ref="J7:J8"/>
    <mergeCell ref="B7:B8"/>
    <mergeCell ref="C7:D8"/>
    <mergeCell ref="E7:E8"/>
    <mergeCell ref="F7:F8"/>
    <mergeCell ref="E5:J5"/>
    <mergeCell ref="K7:K8"/>
    <mergeCell ref="L7:L8"/>
    <mergeCell ref="C16:D16"/>
    <mergeCell ref="C17:D17"/>
    <mergeCell ref="C18:D18"/>
    <mergeCell ref="C19:D19"/>
    <mergeCell ref="C9:D9"/>
    <mergeCell ref="C10:D10"/>
    <mergeCell ref="C11:D11"/>
    <mergeCell ref="C12:D12"/>
    <mergeCell ref="C13:D13"/>
    <mergeCell ref="C14:D14"/>
    <mergeCell ref="C15:D15"/>
    <mergeCell ref="S7:S8"/>
    <mergeCell ref="O7:O8"/>
    <mergeCell ref="P7:P8"/>
    <mergeCell ref="Q7:Q8"/>
    <mergeCell ref="R7:R8"/>
    <mergeCell ref="M7:M8"/>
    <mergeCell ref="N7:N8"/>
    <mergeCell ref="T7:T8"/>
    <mergeCell ref="E6:T6"/>
    <mergeCell ref="C3:T4"/>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7.57"/>
    <col customWidth="1" min="3" max="3" width="16.14"/>
    <col customWidth="1" min="4" max="24" width="10.71"/>
  </cols>
  <sheetData>
    <row r="1" ht="16.5"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112</v>
      </c>
    </row>
    <row r="4" ht="14.25" customHeight="1">
      <c r="B4" s="26" t="s">
        <v>111</v>
      </c>
      <c r="C4" s="28" t="s">
        <v>114</v>
      </c>
    </row>
    <row r="5" ht="14.25" customHeight="1"/>
    <row r="6" ht="23.25" customHeight="1">
      <c r="A6" s="30" t="s">
        <v>113</v>
      </c>
    </row>
    <row r="7" ht="15.0" customHeight="1">
      <c r="A7" s="32" t="s">
        <v>115</v>
      </c>
      <c r="B7" s="33" t="s">
        <v>116</v>
      </c>
      <c r="C7" s="33" t="s">
        <v>117</v>
      </c>
      <c r="D7" s="34" t="s">
        <v>118</v>
      </c>
    </row>
    <row r="8" ht="14.25" customHeight="1">
      <c r="A8" s="35">
        <v>1.0</v>
      </c>
      <c r="B8" s="36" t="s">
        <v>119</v>
      </c>
      <c r="C8" s="37" t="s">
        <v>120</v>
      </c>
      <c r="D8" s="38"/>
    </row>
    <row r="9" ht="14.25" customHeight="1">
      <c r="A9" s="35">
        <v>2.0</v>
      </c>
      <c r="B9" s="36" t="s">
        <v>121</v>
      </c>
      <c r="C9" s="37" t="s">
        <v>120</v>
      </c>
      <c r="D9" s="38"/>
    </row>
    <row r="10" ht="14.25" customHeight="1">
      <c r="A10" s="35">
        <v>3.0</v>
      </c>
      <c r="B10" s="36" t="s">
        <v>123</v>
      </c>
      <c r="C10" s="37" t="s">
        <v>120</v>
      </c>
      <c r="D10" s="38"/>
    </row>
    <row r="11" ht="14.25" customHeight="1">
      <c r="A11" s="35">
        <v>4.0</v>
      </c>
      <c r="B11" s="36" t="s">
        <v>124</v>
      </c>
      <c r="C11" s="37" t="s">
        <v>120</v>
      </c>
      <c r="D11" s="38"/>
    </row>
    <row r="12" ht="14.25" customHeight="1">
      <c r="A12" s="35">
        <v>5.0</v>
      </c>
      <c r="B12" s="36" t="s">
        <v>125</v>
      </c>
      <c r="C12" s="37" t="s">
        <v>120</v>
      </c>
      <c r="D12" s="38"/>
    </row>
    <row r="13" ht="14.25" customHeight="1">
      <c r="A13" s="35">
        <v>6.0</v>
      </c>
      <c r="B13" s="36" t="s">
        <v>126</v>
      </c>
      <c r="C13" s="37" t="s">
        <v>120</v>
      </c>
      <c r="D13" s="38"/>
    </row>
    <row r="14" ht="14.25" customHeight="1">
      <c r="A14" s="35">
        <v>7.0</v>
      </c>
      <c r="B14" s="36" t="s">
        <v>127</v>
      </c>
      <c r="C14" s="37" t="s">
        <v>120</v>
      </c>
      <c r="D14" s="38"/>
    </row>
    <row r="15" ht="14.25" customHeight="1">
      <c r="A15" s="35">
        <v>8.0</v>
      </c>
      <c r="B15" s="36" t="s">
        <v>128</v>
      </c>
      <c r="C15" s="37" t="s">
        <v>120</v>
      </c>
      <c r="D15" s="38"/>
    </row>
    <row r="16" ht="14.25" customHeight="1">
      <c r="A16" s="40">
        <v>9.0</v>
      </c>
      <c r="B16" s="41" t="s">
        <v>129</v>
      </c>
      <c r="C16" s="42"/>
      <c r="D16" s="42" t="s">
        <v>120</v>
      </c>
    </row>
    <row r="17" ht="14.25" customHeight="1">
      <c r="A17" s="43" t="s">
        <v>130</v>
      </c>
      <c r="C17" s="44">
        <f>COUNTA('LISTA COMPROBACION CU-1'!$C$8:$C$16)</f>
        <v>8</v>
      </c>
      <c r="D17" s="44">
        <f>COUNTA('LISTA COMPROBACION CU-1'!$D$8:$D$16)</f>
        <v>1</v>
      </c>
    </row>
    <row r="18" ht="14.25" customHeight="1">
      <c r="A18" s="43" t="s">
        <v>131</v>
      </c>
      <c r="C18" s="45">
        <f t="shared" ref="C18:D18" si="1">C17/9</f>
        <v>0.8888888889</v>
      </c>
      <c r="D18" s="45">
        <f t="shared" si="1"/>
        <v>0.1111111111</v>
      </c>
    </row>
    <row r="19" ht="14.25" customHeight="1">
      <c r="A19" s="43"/>
      <c r="B19" s="43"/>
      <c r="C19" s="45"/>
      <c r="D19" s="44"/>
    </row>
    <row r="20" ht="21.75" customHeight="1">
      <c r="A20" s="46" t="s">
        <v>132</v>
      </c>
      <c r="B20" s="47"/>
      <c r="C20" s="47"/>
      <c r="D20" s="47"/>
    </row>
    <row r="21" ht="14.25" customHeight="1">
      <c r="A21" s="48" t="s">
        <v>115</v>
      </c>
      <c r="B21" s="49" t="s">
        <v>116</v>
      </c>
      <c r="C21" s="50" t="s">
        <v>117</v>
      </c>
      <c r="D21" s="51" t="s">
        <v>118</v>
      </c>
    </row>
    <row r="22" ht="14.25" customHeight="1">
      <c r="A22" s="35">
        <v>1.0</v>
      </c>
      <c r="B22" s="36" t="s">
        <v>133</v>
      </c>
      <c r="C22" s="42" t="s">
        <v>120</v>
      </c>
      <c r="D22" s="38"/>
    </row>
    <row r="23" ht="14.25" customHeight="1">
      <c r="A23" s="35">
        <v>2.0</v>
      </c>
      <c r="B23" s="36" t="s">
        <v>134</v>
      </c>
      <c r="C23" s="42" t="s">
        <v>120</v>
      </c>
      <c r="D23" s="38"/>
    </row>
    <row r="24" ht="14.25" customHeight="1">
      <c r="A24" s="35">
        <v>3.0</v>
      </c>
      <c r="B24" s="36" t="s">
        <v>135</v>
      </c>
      <c r="C24" s="42" t="s">
        <v>120</v>
      </c>
      <c r="D24" s="38"/>
    </row>
    <row r="25" ht="14.25" customHeight="1">
      <c r="A25" s="35">
        <v>4.0</v>
      </c>
      <c r="B25" s="36" t="s">
        <v>136</v>
      </c>
      <c r="C25" s="42"/>
      <c r="D25" s="39" t="s">
        <v>120</v>
      </c>
    </row>
    <row r="26" ht="14.25" customHeight="1">
      <c r="A26" s="40">
        <v>5.0</v>
      </c>
      <c r="B26" s="41" t="s">
        <v>137</v>
      </c>
      <c r="C26" s="42" t="s">
        <v>120</v>
      </c>
      <c r="D26" s="52"/>
    </row>
    <row r="27" ht="14.25" customHeight="1">
      <c r="A27" s="43" t="s">
        <v>130</v>
      </c>
      <c r="C27" s="44">
        <f>COUNTA('LISTA COMPROBACION CU-1'!$C$22:$C$26)</f>
        <v>4</v>
      </c>
      <c r="D27" s="44">
        <f>COUNTA('LISTA COMPROBACION CU-1'!$D$22:$D$26)</f>
        <v>1</v>
      </c>
    </row>
    <row r="28" ht="14.25" customHeight="1">
      <c r="A28" s="43" t="s">
        <v>131</v>
      </c>
      <c r="C28" s="45">
        <f t="shared" ref="C28:D28" si="2">C27/5</f>
        <v>0.8</v>
      </c>
      <c r="D28" s="45">
        <f t="shared" si="2"/>
        <v>0.2</v>
      </c>
    </row>
    <row r="29" ht="14.25" customHeight="1">
      <c r="A29" s="43"/>
      <c r="B29" s="43"/>
      <c r="C29" s="45"/>
      <c r="D29" s="44"/>
    </row>
    <row r="30" ht="21.75" customHeight="1">
      <c r="A30" s="30" t="s">
        <v>138</v>
      </c>
    </row>
    <row r="31" ht="14.25" customHeight="1">
      <c r="A31" s="48" t="s">
        <v>115</v>
      </c>
      <c r="B31" s="49" t="s">
        <v>116</v>
      </c>
      <c r="C31" s="50" t="s">
        <v>117</v>
      </c>
      <c r="D31" s="51" t="s">
        <v>118</v>
      </c>
    </row>
    <row r="32" ht="14.25" customHeight="1">
      <c r="A32" s="35">
        <v>1.0</v>
      </c>
      <c r="B32" s="36" t="s">
        <v>139</v>
      </c>
      <c r="C32" s="42" t="s">
        <v>120</v>
      </c>
      <c r="D32" s="42"/>
    </row>
    <row r="33" ht="14.25" customHeight="1">
      <c r="A33" s="35">
        <v>2.0</v>
      </c>
      <c r="B33" s="36" t="s">
        <v>140</v>
      </c>
      <c r="C33" s="42" t="s">
        <v>120</v>
      </c>
      <c r="D33" s="42"/>
    </row>
    <row r="34" ht="14.25" customHeight="1">
      <c r="A34" s="40">
        <v>3.0</v>
      </c>
      <c r="B34" s="41" t="s">
        <v>141</v>
      </c>
      <c r="C34" s="42" t="s">
        <v>120</v>
      </c>
      <c r="D34" s="42"/>
    </row>
    <row r="35" ht="14.25" customHeight="1">
      <c r="A35" s="43" t="s">
        <v>130</v>
      </c>
      <c r="C35" s="55">
        <f>COUNTA('LISTA COMPROBACION CU-1'!$C$32:$C$34)</f>
        <v>3</v>
      </c>
      <c r="D35" s="55">
        <f>COUNTA('LISTA COMPROBACION CU-1'!$D$32:$D$34)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44">
        <v>89.0</v>
      </c>
    </row>
    <row r="42" ht="30.0" customHeight="1">
      <c r="B42" s="23" t="s">
        <v>132</v>
      </c>
      <c r="C42" s="57">
        <v>80.0</v>
      </c>
    </row>
    <row r="43" ht="30.0" customHeight="1">
      <c r="B43" s="23" t="s">
        <v>138</v>
      </c>
      <c r="C43" s="44">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22:D26">
    <cfRule type="containsText" dxfId="13" priority="2" operator="containsText" text="X">
      <formula>NOT(ISERROR(SEARCH(("X"),(C22))))</formula>
    </cfRule>
  </conditionalFormatting>
  <conditionalFormatting sqref="C22:D26">
    <cfRule type="containsText" dxfId="14" priority="3" operator="containsText" text="X">
      <formula>NOT(ISERROR(SEARCH(("X"),(C22))))</formula>
    </cfRule>
  </conditionalFormatting>
  <conditionalFormatting sqref="C8:C16 C22:C26 C32:C34">
    <cfRule type="containsText" dxfId="12" priority="4"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0"/>
    <col customWidth="1" min="3" max="3" width="16.14"/>
    <col customWidth="1" min="4" max="24" width="10.71"/>
  </cols>
  <sheetData>
    <row r="1" ht="51.0"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110</v>
      </c>
    </row>
    <row r="4" ht="14.25" customHeight="1">
      <c r="B4" s="26" t="s">
        <v>111</v>
      </c>
      <c r="C4" s="31" t="s">
        <v>8</v>
      </c>
    </row>
    <row r="5" ht="14.25" customHeight="1"/>
    <row r="6" ht="14.25" customHeight="1">
      <c r="A6" s="30" t="s">
        <v>113</v>
      </c>
    </row>
    <row r="7" ht="15.0" customHeight="1">
      <c r="A7" s="32" t="s">
        <v>115</v>
      </c>
      <c r="B7" s="33" t="s">
        <v>116</v>
      </c>
      <c r="C7" s="33" t="s">
        <v>117</v>
      </c>
      <c r="D7" s="34" t="s">
        <v>118</v>
      </c>
    </row>
    <row r="8" ht="41.25" customHeight="1">
      <c r="A8" s="35">
        <v>1.0</v>
      </c>
      <c r="B8" s="36" t="s">
        <v>119</v>
      </c>
      <c r="C8" s="37" t="s">
        <v>120</v>
      </c>
      <c r="D8" s="38"/>
    </row>
    <row r="9" ht="41.25" customHeight="1">
      <c r="A9" s="35">
        <v>2.0</v>
      </c>
      <c r="B9" s="36" t="s">
        <v>121</v>
      </c>
      <c r="C9" s="37" t="s">
        <v>120</v>
      </c>
      <c r="D9" s="38"/>
    </row>
    <row r="10" ht="41.25" customHeight="1">
      <c r="A10" s="35">
        <v>3.0</v>
      </c>
      <c r="B10" s="36" t="s">
        <v>123</v>
      </c>
      <c r="C10" s="37" t="s">
        <v>120</v>
      </c>
      <c r="D10" s="38"/>
    </row>
    <row r="11" ht="41.25" customHeight="1">
      <c r="A11" s="35">
        <v>4.0</v>
      </c>
      <c r="B11" s="36" t="s">
        <v>124</v>
      </c>
      <c r="C11" s="37" t="s">
        <v>120</v>
      </c>
      <c r="D11" s="38"/>
    </row>
    <row r="12" ht="41.25" customHeight="1">
      <c r="A12" s="35">
        <v>5.0</v>
      </c>
      <c r="B12" s="36" t="s">
        <v>125</v>
      </c>
      <c r="C12" s="37" t="s">
        <v>120</v>
      </c>
      <c r="D12" s="38"/>
    </row>
    <row r="13" ht="41.25" customHeight="1">
      <c r="A13" s="35">
        <v>6.0</v>
      </c>
      <c r="B13" s="36" t="s">
        <v>126</v>
      </c>
      <c r="C13" s="37" t="s">
        <v>120</v>
      </c>
      <c r="D13" s="38"/>
    </row>
    <row r="14" ht="41.25" customHeight="1">
      <c r="A14" s="35">
        <v>7.0</v>
      </c>
      <c r="B14" s="36" t="s">
        <v>127</v>
      </c>
      <c r="C14" s="37"/>
      <c r="D14" s="37" t="s">
        <v>120</v>
      </c>
    </row>
    <row r="15" ht="41.25" customHeight="1">
      <c r="A15" s="35">
        <v>8.0</v>
      </c>
      <c r="B15" s="36" t="s">
        <v>128</v>
      </c>
      <c r="C15" s="37" t="s">
        <v>120</v>
      </c>
      <c r="D15" s="38"/>
    </row>
    <row r="16" ht="41.25" customHeight="1">
      <c r="A16" s="40">
        <v>9.0</v>
      </c>
      <c r="B16" s="41" t="s">
        <v>129</v>
      </c>
      <c r="C16" s="42"/>
      <c r="D16" s="42" t="s">
        <v>120</v>
      </c>
    </row>
    <row r="17" ht="14.25" customHeight="1">
      <c r="A17" s="43" t="s">
        <v>130</v>
      </c>
      <c r="C17" s="44">
        <f>COUNTA('LISTA COMPROBACION CU-2'!$C$8:$C$16)</f>
        <v>7</v>
      </c>
      <c r="D17" s="44">
        <f>COUNTA('LISTA COMPROBACION CU-2'!$D$8:$D$16)</f>
        <v>2</v>
      </c>
    </row>
    <row r="18" ht="14.25" customHeight="1">
      <c r="A18" s="43" t="s">
        <v>131</v>
      </c>
      <c r="C18" s="45">
        <f t="shared" ref="C18:D18" si="1">C17/9</f>
        <v>0.7777777778</v>
      </c>
      <c r="D18" s="45">
        <f t="shared" si="1"/>
        <v>0.2222222222</v>
      </c>
    </row>
    <row r="19" ht="14.25" customHeight="1">
      <c r="A19" s="43"/>
      <c r="B19" s="43"/>
      <c r="C19" s="45"/>
      <c r="D19" s="44"/>
    </row>
    <row r="20" ht="14.25" customHeight="1">
      <c r="A20" s="46" t="s">
        <v>132</v>
      </c>
      <c r="B20" s="47"/>
      <c r="C20" s="47"/>
      <c r="D20" s="47"/>
    </row>
    <row r="21" ht="14.25" customHeight="1">
      <c r="A21" s="48" t="s">
        <v>115</v>
      </c>
      <c r="B21" s="49" t="s">
        <v>116</v>
      </c>
      <c r="C21" s="50" t="s">
        <v>117</v>
      </c>
      <c r="D21" s="51" t="s">
        <v>118</v>
      </c>
    </row>
    <row r="22" ht="28.5" customHeight="1">
      <c r="A22" s="35">
        <v>1.0</v>
      </c>
      <c r="B22" s="36" t="s">
        <v>133</v>
      </c>
      <c r="C22" s="42" t="s">
        <v>120</v>
      </c>
      <c r="D22" s="38"/>
    </row>
    <row r="23" ht="28.5" customHeight="1">
      <c r="A23" s="35">
        <v>2.0</v>
      </c>
      <c r="B23" s="36" t="s">
        <v>134</v>
      </c>
      <c r="C23" s="42" t="s">
        <v>120</v>
      </c>
      <c r="D23" s="38"/>
    </row>
    <row r="24" ht="28.5" customHeight="1">
      <c r="A24" s="35">
        <v>3.0</v>
      </c>
      <c r="B24" s="36" t="s">
        <v>135</v>
      </c>
      <c r="C24" s="42" t="s">
        <v>120</v>
      </c>
    </row>
    <row r="25" ht="28.5" customHeight="1">
      <c r="A25" s="35">
        <v>4.0</v>
      </c>
      <c r="B25" s="36" t="s">
        <v>136</v>
      </c>
      <c r="C25" s="42" t="s">
        <v>120</v>
      </c>
      <c r="D25" s="38"/>
    </row>
    <row r="26" ht="28.5" customHeight="1">
      <c r="A26" s="40">
        <v>5.0</v>
      </c>
      <c r="B26" s="41" t="s">
        <v>137</v>
      </c>
      <c r="C26" s="42" t="s">
        <v>120</v>
      </c>
      <c r="D26" s="52"/>
    </row>
    <row r="27" ht="14.25" customHeight="1">
      <c r="A27" s="43" t="s">
        <v>130</v>
      </c>
      <c r="C27" s="44">
        <f>COUNTA('LISTA COMPROBACION CU-2'!$C$22:$C$26)</f>
        <v>5</v>
      </c>
      <c r="D27" s="44">
        <f>COUNTA('LISTA COMPROBACION CU-2'!$D$22:$D$26)</f>
        <v>0</v>
      </c>
    </row>
    <row r="28" ht="14.25" customHeight="1">
      <c r="A28" s="43" t="s">
        <v>131</v>
      </c>
      <c r="C28" s="45">
        <f t="shared" ref="C28:D28" si="2">C27/5</f>
        <v>1</v>
      </c>
      <c r="D28" s="45">
        <f t="shared" si="2"/>
        <v>0</v>
      </c>
    </row>
    <row r="29" ht="14.25" customHeight="1">
      <c r="A29" s="43"/>
      <c r="B29" s="43"/>
      <c r="C29" s="45"/>
      <c r="D29" s="44"/>
    </row>
    <row r="30" ht="14.25" customHeight="1">
      <c r="A30" s="30" t="s">
        <v>138</v>
      </c>
    </row>
    <row r="31" ht="14.25" customHeight="1">
      <c r="A31" s="48" t="s">
        <v>115</v>
      </c>
      <c r="B31" s="49" t="s">
        <v>116</v>
      </c>
      <c r="C31" s="50" t="s">
        <v>117</v>
      </c>
      <c r="D31" s="51" t="s">
        <v>118</v>
      </c>
    </row>
    <row r="32" ht="27.75" customHeight="1">
      <c r="A32" s="35">
        <v>1.0</v>
      </c>
      <c r="B32" s="36" t="s">
        <v>139</v>
      </c>
      <c r="D32" s="42" t="s">
        <v>120</v>
      </c>
    </row>
    <row r="33" ht="27.75" customHeight="1">
      <c r="A33" s="35">
        <v>2.0</v>
      </c>
      <c r="B33" s="36" t="s">
        <v>140</v>
      </c>
      <c r="C33" s="42"/>
      <c r="D33" s="42" t="s">
        <v>120</v>
      </c>
    </row>
    <row r="34" ht="27.75" customHeight="1">
      <c r="A34" s="40">
        <v>3.0</v>
      </c>
      <c r="B34" s="41" t="s">
        <v>141</v>
      </c>
      <c r="C34" s="42" t="s">
        <v>120</v>
      </c>
      <c r="D34" s="42"/>
    </row>
    <row r="35" ht="14.25" customHeight="1">
      <c r="A35" s="43" t="s">
        <v>130</v>
      </c>
      <c r="C35" s="55">
        <f>COUNTA('LISTA COMPROBACION CU-2'!$C$32:$C$34)</f>
        <v>1</v>
      </c>
      <c r="D35" s="55">
        <f>COUNTA('LISTA COMPROBACION CU-2'!$D$32:$D$34)</f>
        <v>2</v>
      </c>
    </row>
    <row r="36" ht="14.25" customHeight="1">
      <c r="A36" s="43" t="s">
        <v>131</v>
      </c>
      <c r="C36" s="45">
        <f t="shared" ref="C36:D36" si="3">C35/3</f>
        <v>0.3333333333</v>
      </c>
      <c r="D36" s="45">
        <f t="shared" si="3"/>
        <v>0.6666666667</v>
      </c>
    </row>
    <row r="37" ht="14.25" customHeight="1"/>
    <row r="38" ht="14.25" customHeight="1"/>
    <row r="39" ht="14.25" customHeight="1"/>
    <row r="40" ht="14.25" customHeight="1">
      <c r="A40" s="56" t="s">
        <v>142</v>
      </c>
    </row>
    <row r="41" ht="30.0" customHeight="1">
      <c r="B41" s="23" t="s">
        <v>143</v>
      </c>
      <c r="C41" s="44">
        <v>78.0</v>
      </c>
    </row>
    <row r="42" ht="30.0" customHeight="1">
      <c r="B42" s="23" t="s">
        <v>132</v>
      </c>
      <c r="C42" s="44">
        <v>100.0</v>
      </c>
    </row>
    <row r="43" ht="30.0" customHeight="1">
      <c r="B43" s="23" t="s">
        <v>138</v>
      </c>
      <c r="C43" s="44">
        <v>33.0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32:D34 D22:D26">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conditionalFormatting sqref="C22:D26">
    <cfRule type="containsText" dxfId="13" priority="3" operator="containsText" text="X">
      <formula>NOT(ISERROR(SEARCH(("X"),(C22))))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0"/>
    <col customWidth="1" min="3" max="3" width="16.14"/>
    <col customWidth="1" min="4" max="24" width="10.71"/>
  </cols>
  <sheetData>
    <row r="1" ht="51.0"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110</v>
      </c>
    </row>
    <row r="4" ht="14.25" customHeight="1">
      <c r="B4" s="26" t="s">
        <v>111</v>
      </c>
      <c r="C4" s="29" t="s">
        <v>9</v>
      </c>
    </row>
    <row r="5" ht="14.25" customHeight="1"/>
    <row r="6" ht="14.25" customHeight="1">
      <c r="A6" s="30" t="s">
        <v>113</v>
      </c>
    </row>
    <row r="7" ht="15.0" customHeight="1">
      <c r="A7" s="32" t="s">
        <v>115</v>
      </c>
      <c r="B7" s="33" t="s">
        <v>116</v>
      </c>
      <c r="C7" s="33" t="s">
        <v>117</v>
      </c>
      <c r="D7" s="34" t="s">
        <v>118</v>
      </c>
    </row>
    <row r="8" ht="41.25" customHeight="1">
      <c r="A8" s="35">
        <v>1.0</v>
      </c>
      <c r="B8" s="36" t="s">
        <v>119</v>
      </c>
      <c r="C8" s="37" t="s">
        <v>120</v>
      </c>
      <c r="D8" s="38"/>
    </row>
    <row r="9" ht="41.25" customHeight="1">
      <c r="A9" s="35">
        <v>2.0</v>
      </c>
      <c r="B9" s="36" t="s">
        <v>121</v>
      </c>
      <c r="C9" s="37"/>
      <c r="D9" s="39" t="s">
        <v>122</v>
      </c>
    </row>
    <row r="10" ht="41.25" customHeight="1">
      <c r="A10" s="35">
        <v>3.0</v>
      </c>
      <c r="B10" s="36" t="s">
        <v>123</v>
      </c>
      <c r="C10" s="37" t="s">
        <v>120</v>
      </c>
      <c r="D10" s="38"/>
    </row>
    <row r="11" ht="41.25" customHeight="1">
      <c r="A11" s="35">
        <v>4.0</v>
      </c>
      <c r="B11" s="36" t="s">
        <v>124</v>
      </c>
      <c r="C11" s="37" t="s">
        <v>120</v>
      </c>
      <c r="D11" s="38"/>
    </row>
    <row r="12" ht="41.25" customHeight="1">
      <c r="A12" s="35">
        <v>5.0</v>
      </c>
      <c r="B12" s="36" t="s">
        <v>125</v>
      </c>
      <c r="C12" s="37" t="s">
        <v>120</v>
      </c>
      <c r="D12" s="38"/>
    </row>
    <row r="13" ht="41.25" customHeight="1">
      <c r="A13" s="35">
        <v>6.0</v>
      </c>
      <c r="B13" s="36" t="s">
        <v>126</v>
      </c>
      <c r="C13" s="37" t="s">
        <v>120</v>
      </c>
      <c r="D13" s="38"/>
    </row>
    <row r="14" ht="41.25" customHeight="1">
      <c r="A14" s="35">
        <v>7.0</v>
      </c>
      <c r="B14" s="36" t="s">
        <v>127</v>
      </c>
      <c r="C14" s="37"/>
      <c r="D14" s="37" t="s">
        <v>120</v>
      </c>
    </row>
    <row r="15" ht="41.25" customHeight="1">
      <c r="A15" s="35">
        <v>8.0</v>
      </c>
      <c r="B15" s="36" t="s">
        <v>128</v>
      </c>
      <c r="C15" s="37" t="s">
        <v>120</v>
      </c>
      <c r="D15" s="38"/>
    </row>
    <row r="16" ht="41.25" customHeight="1">
      <c r="A16" s="40">
        <v>9.0</v>
      </c>
      <c r="B16" s="41" t="s">
        <v>129</v>
      </c>
      <c r="C16" s="42"/>
      <c r="D16" s="42" t="s">
        <v>120</v>
      </c>
    </row>
    <row r="17" ht="14.25" customHeight="1">
      <c r="A17" s="43" t="s">
        <v>130</v>
      </c>
      <c r="C17" s="44">
        <f>COUNTA('LISTA COMPROBACION CU-3'!$C$8:$C$16)</f>
        <v>6</v>
      </c>
      <c r="D17" s="44">
        <f>COUNTA('LISTA COMPROBACION CU-3'!$D$8:$D$16)</f>
        <v>3</v>
      </c>
    </row>
    <row r="18" ht="14.25" customHeight="1">
      <c r="A18" s="43" t="s">
        <v>131</v>
      </c>
      <c r="C18" s="45">
        <f t="shared" ref="C18:D18" si="1">C17/9</f>
        <v>0.6666666667</v>
      </c>
      <c r="D18" s="45">
        <f t="shared" si="1"/>
        <v>0.3333333333</v>
      </c>
    </row>
    <row r="19" ht="14.25" customHeight="1">
      <c r="A19" s="43"/>
      <c r="B19" s="43"/>
      <c r="C19" s="45"/>
      <c r="D19" s="44"/>
    </row>
    <row r="20" ht="14.25" customHeight="1">
      <c r="A20" s="46" t="s">
        <v>132</v>
      </c>
      <c r="B20" s="47"/>
      <c r="C20" s="47"/>
      <c r="D20" s="47"/>
    </row>
    <row r="21" ht="14.25" customHeight="1">
      <c r="A21" s="48" t="s">
        <v>115</v>
      </c>
      <c r="B21" s="49" t="s">
        <v>116</v>
      </c>
      <c r="C21" s="50" t="s">
        <v>117</v>
      </c>
      <c r="D21" s="51" t="s">
        <v>118</v>
      </c>
    </row>
    <row r="22" ht="28.5" customHeight="1">
      <c r="A22" s="35">
        <v>1.0</v>
      </c>
      <c r="B22" s="36" t="s">
        <v>133</v>
      </c>
      <c r="C22" s="42" t="s">
        <v>120</v>
      </c>
      <c r="D22" s="38"/>
    </row>
    <row r="23" ht="28.5" customHeight="1">
      <c r="A23" s="35">
        <v>2.0</v>
      </c>
      <c r="B23" s="36" t="s">
        <v>134</v>
      </c>
      <c r="C23" s="42" t="s">
        <v>120</v>
      </c>
      <c r="D23" s="38"/>
    </row>
    <row r="24" ht="28.5" customHeight="1">
      <c r="A24" s="35">
        <v>3.0</v>
      </c>
      <c r="B24" s="36" t="s">
        <v>135</v>
      </c>
      <c r="C24" s="42" t="s">
        <v>120</v>
      </c>
    </row>
    <row r="25" ht="28.5" customHeight="1">
      <c r="A25" s="35">
        <v>4.0</v>
      </c>
      <c r="B25" s="36" t="s">
        <v>136</v>
      </c>
      <c r="C25" s="42"/>
      <c r="D25" s="39" t="s">
        <v>122</v>
      </c>
    </row>
    <row r="26" ht="28.5" customHeight="1">
      <c r="A26" s="40">
        <v>5.0</v>
      </c>
      <c r="B26" s="41" t="s">
        <v>137</v>
      </c>
      <c r="C26" s="42" t="s">
        <v>120</v>
      </c>
      <c r="D26" s="52"/>
    </row>
    <row r="27" ht="14.25" customHeight="1">
      <c r="A27" s="43" t="s">
        <v>130</v>
      </c>
      <c r="C27" s="44">
        <f>COUNTA('LISTA COMPROBACION CU-3'!$C$22:$C$26)</f>
        <v>4</v>
      </c>
      <c r="D27" s="44">
        <f>COUNTA('LISTA COMPROBACION CU-3'!$D$22:$D$26)</f>
        <v>1</v>
      </c>
    </row>
    <row r="28" ht="14.25" customHeight="1">
      <c r="A28" s="43" t="s">
        <v>131</v>
      </c>
      <c r="C28" s="45">
        <f t="shared" ref="C28:D28" si="2">C27/5</f>
        <v>0.8</v>
      </c>
      <c r="D28" s="45">
        <f t="shared" si="2"/>
        <v>0.2</v>
      </c>
    </row>
    <row r="29" ht="14.25" customHeight="1">
      <c r="A29" s="43"/>
      <c r="B29" s="43"/>
      <c r="C29" s="45"/>
      <c r="D29" s="44"/>
    </row>
    <row r="30" ht="14.25" customHeight="1">
      <c r="A30" s="30" t="s">
        <v>138</v>
      </c>
    </row>
    <row r="31" ht="14.25" customHeight="1">
      <c r="A31" s="48" t="s">
        <v>115</v>
      </c>
      <c r="B31" s="49" t="s">
        <v>116</v>
      </c>
      <c r="C31" s="50" t="s">
        <v>117</v>
      </c>
      <c r="D31" s="51" t="s">
        <v>118</v>
      </c>
    </row>
    <row r="32" ht="27.75" customHeight="1">
      <c r="A32" s="35">
        <v>1.0</v>
      </c>
      <c r="B32" s="36" t="s">
        <v>139</v>
      </c>
      <c r="C32" s="53" t="s">
        <v>122</v>
      </c>
      <c r="D32" s="42"/>
    </row>
    <row r="33" ht="27.75" customHeight="1">
      <c r="A33" s="35">
        <v>2.0</v>
      </c>
      <c r="B33" s="36" t="s">
        <v>140</v>
      </c>
      <c r="C33" s="54" t="s">
        <v>122</v>
      </c>
      <c r="D33" s="42"/>
    </row>
    <row r="34" ht="27.75" customHeight="1">
      <c r="A34" s="40">
        <v>3.0</v>
      </c>
      <c r="B34" s="41" t="s">
        <v>141</v>
      </c>
      <c r="C34" s="42" t="s">
        <v>120</v>
      </c>
      <c r="D34" s="42"/>
    </row>
    <row r="35" ht="14.25" customHeight="1">
      <c r="A35" s="43" t="s">
        <v>130</v>
      </c>
      <c r="C35" s="55">
        <f>COUNTA('LISTA COMPROBACION CU-3'!$C$32:$C$34)</f>
        <v>3</v>
      </c>
      <c r="D35" s="55">
        <f>COUNTA('LISTA COMPROBACION CU-3'!$D$32:$D$34)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67.0</v>
      </c>
    </row>
    <row r="42" ht="30.0" customHeight="1">
      <c r="B42" s="23" t="s">
        <v>132</v>
      </c>
      <c r="C42" s="57">
        <v>80.0</v>
      </c>
    </row>
    <row r="43" ht="30.0" customHeight="1">
      <c r="B43" s="23" t="s">
        <v>138</v>
      </c>
      <c r="C43" s="57">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A6:D6"/>
    <mergeCell ref="A17:B17"/>
    <mergeCell ref="A20:D20"/>
    <mergeCell ref="C4:D4"/>
  </mergeCells>
  <conditionalFormatting sqref="D8:D16 D32:D34 D22:D26">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conditionalFormatting sqref="C22:D26">
    <cfRule type="containsText" dxfId="13" priority="3" operator="containsText" text="X">
      <formula>NOT(ISERROR(SEARCH(("X"),(C22))))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23"/>
      <c r="B1" s="24" t="s">
        <v>1</v>
      </c>
      <c r="C1" s="58" t="s">
        <v>2</v>
      </c>
      <c r="E1" s="23"/>
      <c r="F1" s="23"/>
      <c r="G1" s="23"/>
      <c r="H1" s="23"/>
      <c r="I1" s="23"/>
      <c r="J1" s="23"/>
      <c r="K1" s="23"/>
      <c r="L1" s="23"/>
      <c r="M1" s="23"/>
      <c r="N1" s="23"/>
      <c r="O1" s="23"/>
      <c r="P1" s="23"/>
      <c r="Q1" s="23"/>
      <c r="R1" s="23"/>
      <c r="S1" s="23"/>
      <c r="T1" s="23"/>
      <c r="U1" s="23"/>
      <c r="V1" s="23"/>
      <c r="W1" s="23"/>
      <c r="X1" s="23"/>
      <c r="Y1" s="23"/>
      <c r="Z1" s="23"/>
    </row>
    <row r="2" ht="22.5" customHeight="1">
      <c r="B2" s="26" t="s">
        <v>108</v>
      </c>
      <c r="C2" s="27">
        <v>46296.0</v>
      </c>
    </row>
    <row r="3" ht="22.5" customHeight="1">
      <c r="B3" s="26" t="s">
        <v>109</v>
      </c>
      <c r="C3" s="28" t="s">
        <v>144</v>
      </c>
    </row>
    <row r="4" ht="14.25" customHeight="1">
      <c r="B4" s="26" t="s">
        <v>111</v>
      </c>
      <c r="C4" s="31" t="s">
        <v>10</v>
      </c>
    </row>
    <row r="5" ht="14.25" customHeight="1"/>
    <row r="6" ht="27.0" customHeight="1">
      <c r="A6" s="30" t="s">
        <v>113</v>
      </c>
    </row>
    <row r="7" ht="23.25" customHeight="1">
      <c r="A7" s="32" t="s">
        <v>115</v>
      </c>
      <c r="B7" s="33" t="s">
        <v>116</v>
      </c>
      <c r="C7" s="33" t="s">
        <v>117</v>
      </c>
      <c r="D7" s="34" t="s">
        <v>118</v>
      </c>
    </row>
    <row r="8" ht="43.5" customHeight="1">
      <c r="A8" s="35">
        <v>1.0</v>
      </c>
      <c r="B8" s="36" t="s">
        <v>119</v>
      </c>
      <c r="C8" s="37" t="s">
        <v>120</v>
      </c>
      <c r="D8" s="38"/>
    </row>
    <row r="9" ht="43.5" customHeight="1">
      <c r="A9" s="35">
        <v>2.0</v>
      </c>
      <c r="B9" s="36" t="s">
        <v>121</v>
      </c>
      <c r="C9" s="38"/>
      <c r="D9" s="37" t="s">
        <v>120</v>
      </c>
    </row>
    <row r="10" ht="43.5" customHeight="1">
      <c r="A10" s="35">
        <v>3.0</v>
      </c>
      <c r="B10" s="36" t="s">
        <v>123</v>
      </c>
      <c r="C10" s="38"/>
      <c r="D10" s="37" t="s">
        <v>120</v>
      </c>
    </row>
    <row r="11" ht="43.5" customHeight="1">
      <c r="A11" s="35">
        <v>4.0</v>
      </c>
      <c r="B11" s="36" t="s">
        <v>124</v>
      </c>
      <c r="C11" s="37" t="s">
        <v>120</v>
      </c>
      <c r="D11" s="38"/>
    </row>
    <row r="12" ht="43.5" customHeight="1">
      <c r="A12" s="35">
        <v>5.0</v>
      </c>
      <c r="B12" s="36" t="s">
        <v>125</v>
      </c>
      <c r="C12" s="37" t="s">
        <v>120</v>
      </c>
      <c r="D12" s="38"/>
    </row>
    <row r="13" ht="43.5" customHeight="1">
      <c r="A13" s="35">
        <v>6.0</v>
      </c>
      <c r="B13" s="36" t="s">
        <v>126</v>
      </c>
      <c r="C13" s="37" t="s">
        <v>120</v>
      </c>
      <c r="D13" s="38"/>
    </row>
    <row r="14" ht="43.5" customHeight="1">
      <c r="A14" s="35">
        <v>7.0</v>
      </c>
      <c r="B14" s="36" t="s">
        <v>127</v>
      </c>
      <c r="C14" s="37" t="s">
        <v>120</v>
      </c>
      <c r="D14" s="38"/>
    </row>
    <row r="15" ht="43.5" customHeight="1">
      <c r="A15" s="35">
        <v>8.0</v>
      </c>
      <c r="B15" s="36" t="s">
        <v>128</v>
      </c>
      <c r="C15" s="37" t="s">
        <v>120</v>
      </c>
      <c r="D15" s="38"/>
    </row>
    <row r="16" ht="43.5" customHeight="1">
      <c r="A16" s="40">
        <v>9.0</v>
      </c>
      <c r="B16" s="41" t="s">
        <v>129</v>
      </c>
      <c r="C16" s="42"/>
      <c r="D16" s="42" t="s">
        <v>120</v>
      </c>
    </row>
    <row r="17" ht="23.25" customHeight="1">
      <c r="A17" s="43" t="s">
        <v>130</v>
      </c>
      <c r="C17" s="44">
        <f>COUNTA('LISTA COMPROBACION CU-4'!$C$8:$C$16)</f>
        <v>6</v>
      </c>
      <c r="D17" s="44">
        <f>COUNTA('LISTA COMPROBACION CU-4'!$D$8:$D$16)</f>
        <v>3</v>
      </c>
    </row>
    <row r="18" ht="23.25" customHeight="1">
      <c r="A18" s="43" t="s">
        <v>131</v>
      </c>
      <c r="C18" s="45">
        <f t="shared" ref="C18:D18" si="1">C17/9</f>
        <v>0.6666666667</v>
      </c>
      <c r="D18" s="45">
        <f t="shared" si="1"/>
        <v>0.3333333333</v>
      </c>
    </row>
    <row r="19" ht="23.25" customHeight="1">
      <c r="A19" s="43"/>
      <c r="B19" s="43"/>
      <c r="C19" s="45"/>
      <c r="D19" s="44"/>
    </row>
    <row r="20" ht="23.25" customHeight="1">
      <c r="A20" s="46" t="s">
        <v>132</v>
      </c>
      <c r="B20" s="47"/>
      <c r="C20" s="47"/>
      <c r="D20" s="47"/>
    </row>
    <row r="21" ht="23.25" customHeight="1">
      <c r="A21" s="48" t="s">
        <v>115</v>
      </c>
      <c r="B21" s="49" t="s">
        <v>116</v>
      </c>
      <c r="C21" s="50" t="s">
        <v>117</v>
      </c>
      <c r="D21" s="51" t="s">
        <v>118</v>
      </c>
    </row>
    <row r="22" ht="31.5" customHeight="1">
      <c r="A22" s="35">
        <v>1.0</v>
      </c>
      <c r="B22" s="36" t="s">
        <v>133</v>
      </c>
      <c r="C22" s="42" t="s">
        <v>120</v>
      </c>
      <c r="D22" s="38"/>
    </row>
    <row r="23" ht="31.5" customHeight="1">
      <c r="A23" s="35">
        <v>2.0</v>
      </c>
      <c r="B23" s="36" t="s">
        <v>134</v>
      </c>
      <c r="C23" s="42" t="s">
        <v>120</v>
      </c>
      <c r="D23" s="38"/>
    </row>
    <row r="24" ht="31.5" customHeight="1">
      <c r="A24" s="35">
        <v>3.0</v>
      </c>
      <c r="B24" s="36" t="s">
        <v>135</v>
      </c>
      <c r="C24" s="42" t="s">
        <v>120</v>
      </c>
      <c r="D24" s="38"/>
    </row>
    <row r="25" ht="31.5" customHeight="1">
      <c r="A25" s="35">
        <v>4.0</v>
      </c>
      <c r="B25" s="36" t="s">
        <v>136</v>
      </c>
      <c r="C25" s="42" t="s">
        <v>120</v>
      </c>
      <c r="D25" s="38"/>
    </row>
    <row r="26" ht="31.5" customHeight="1">
      <c r="A26" s="40">
        <v>5.0</v>
      </c>
      <c r="B26" s="41" t="s">
        <v>137</v>
      </c>
      <c r="C26" s="42" t="s">
        <v>120</v>
      </c>
      <c r="D26" s="52"/>
    </row>
    <row r="27" ht="23.25" customHeight="1">
      <c r="A27" s="43" t="s">
        <v>130</v>
      </c>
      <c r="C27" s="44">
        <f>COUNTA('LISTA COMPROBACION CU-4'!$C$22:$C$26)</f>
        <v>5</v>
      </c>
      <c r="D27" s="44">
        <f>COUNTA('LISTA COMPROBACION CU-4'!$D$22:$D$26)</f>
        <v>0</v>
      </c>
    </row>
    <row r="28" ht="23.25" customHeight="1">
      <c r="A28" s="43" t="s">
        <v>131</v>
      </c>
      <c r="C28" s="45">
        <f t="shared" ref="C28:D28" si="2">C27/5</f>
        <v>1</v>
      </c>
      <c r="D28" s="45">
        <f t="shared" si="2"/>
        <v>0</v>
      </c>
    </row>
    <row r="29" ht="23.25" customHeight="1">
      <c r="A29" s="43"/>
      <c r="B29" s="43"/>
      <c r="C29" s="45"/>
      <c r="D29" s="44"/>
    </row>
    <row r="30" ht="23.25" customHeight="1">
      <c r="A30" s="30" t="s">
        <v>138</v>
      </c>
    </row>
    <row r="31" ht="23.25" customHeight="1">
      <c r="A31" s="48" t="s">
        <v>115</v>
      </c>
      <c r="B31" s="49" t="s">
        <v>116</v>
      </c>
      <c r="C31" s="50" t="s">
        <v>117</v>
      </c>
      <c r="D31" s="51" t="s">
        <v>118</v>
      </c>
    </row>
    <row r="32" ht="36.75" customHeight="1">
      <c r="A32" s="35">
        <v>1.0</v>
      </c>
      <c r="B32" s="36" t="s">
        <v>139</v>
      </c>
      <c r="C32" s="42" t="s">
        <v>120</v>
      </c>
      <c r="D32" s="42"/>
    </row>
    <row r="33" ht="36.75" customHeight="1">
      <c r="A33" s="35">
        <v>2.0</v>
      </c>
      <c r="B33" s="36" t="s">
        <v>140</v>
      </c>
      <c r="C33" s="42" t="s">
        <v>120</v>
      </c>
      <c r="D33" s="42"/>
    </row>
    <row r="34" ht="36.75" customHeight="1">
      <c r="A34" s="40">
        <v>3.0</v>
      </c>
      <c r="B34" s="41" t="s">
        <v>141</v>
      </c>
      <c r="C34" s="42" t="s">
        <v>120</v>
      </c>
      <c r="D34" s="42"/>
    </row>
    <row r="35" ht="14.25" customHeight="1">
      <c r="A35" s="43" t="s">
        <v>130</v>
      </c>
      <c r="C35" s="55">
        <f>COUNTA('LISTA COMPROBACION CU-4'!$C$32:$C$34)</f>
        <v>3</v>
      </c>
      <c r="D35" s="55">
        <f>COUNTA('LISTA COMPROBACION CU-4'!$D$32:$D$34)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67.0</v>
      </c>
    </row>
    <row r="42" ht="30.0" customHeight="1">
      <c r="B42" s="23" t="s">
        <v>132</v>
      </c>
      <c r="C42" s="57">
        <v>100.0</v>
      </c>
    </row>
    <row r="43" ht="30.0" customHeight="1">
      <c r="B43" s="23" t="s">
        <v>138</v>
      </c>
      <c r="C43" s="57">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145</v>
      </c>
    </row>
    <row r="4" ht="14.25" customHeight="1">
      <c r="B4" s="26" t="s">
        <v>111</v>
      </c>
      <c r="C4" s="29" t="s">
        <v>11</v>
      </c>
    </row>
    <row r="5" ht="14.25" customHeight="1"/>
    <row r="6" ht="36.75" customHeight="1">
      <c r="A6" s="30" t="s">
        <v>113</v>
      </c>
    </row>
    <row r="7" ht="36.75" customHeight="1">
      <c r="A7" s="32" t="s">
        <v>115</v>
      </c>
      <c r="B7" s="33" t="s">
        <v>116</v>
      </c>
      <c r="C7" s="33" t="s">
        <v>117</v>
      </c>
      <c r="D7" s="34" t="s">
        <v>118</v>
      </c>
    </row>
    <row r="8" ht="36.75" customHeight="1">
      <c r="A8" s="35">
        <v>1.0</v>
      </c>
      <c r="B8" s="36" t="s">
        <v>119</v>
      </c>
      <c r="C8" s="37" t="s">
        <v>120</v>
      </c>
      <c r="D8" s="38"/>
    </row>
    <row r="9" ht="36.75" customHeight="1">
      <c r="A9" s="35">
        <v>2.0</v>
      </c>
      <c r="B9" s="36" t="s">
        <v>121</v>
      </c>
      <c r="C9" s="38"/>
      <c r="D9" s="37" t="s">
        <v>120</v>
      </c>
    </row>
    <row r="10" ht="36.75" customHeight="1">
      <c r="A10" s="35">
        <v>3.0</v>
      </c>
      <c r="B10" s="36" t="s">
        <v>123</v>
      </c>
      <c r="C10" s="39" t="s">
        <v>122</v>
      </c>
      <c r="D10" s="37"/>
    </row>
    <row r="11" ht="36.75" customHeight="1">
      <c r="A11" s="35">
        <v>4.0</v>
      </c>
      <c r="B11" s="36" t="s">
        <v>124</v>
      </c>
      <c r="C11" s="37" t="s">
        <v>120</v>
      </c>
      <c r="D11" s="38"/>
    </row>
    <row r="12" ht="36.75" customHeight="1">
      <c r="A12" s="35">
        <v>5.0</v>
      </c>
      <c r="B12" s="36" t="s">
        <v>125</v>
      </c>
      <c r="C12" s="37" t="s">
        <v>120</v>
      </c>
      <c r="D12" s="38"/>
    </row>
    <row r="13" ht="36.75" customHeight="1">
      <c r="A13" s="35">
        <v>6.0</v>
      </c>
      <c r="B13" s="36" t="s">
        <v>126</v>
      </c>
      <c r="C13" s="37" t="s">
        <v>120</v>
      </c>
      <c r="D13" s="38"/>
    </row>
    <row r="14" ht="36.75" customHeight="1">
      <c r="A14" s="35">
        <v>7.0</v>
      </c>
      <c r="B14" s="36" t="s">
        <v>127</v>
      </c>
      <c r="C14" s="37"/>
      <c r="D14" s="39" t="s">
        <v>122</v>
      </c>
    </row>
    <row r="15" ht="36.75" customHeight="1">
      <c r="A15" s="35">
        <v>8.0</v>
      </c>
      <c r="B15" s="36" t="s">
        <v>128</v>
      </c>
      <c r="C15" s="37" t="s">
        <v>120</v>
      </c>
      <c r="D15" s="38"/>
    </row>
    <row r="16" ht="36.75" customHeight="1">
      <c r="A16" s="40">
        <v>9.0</v>
      </c>
      <c r="B16" s="41" t="s">
        <v>129</v>
      </c>
      <c r="C16" s="42"/>
      <c r="D16" s="42" t="s">
        <v>120</v>
      </c>
    </row>
    <row r="17" ht="36.75" customHeight="1">
      <c r="A17" s="43" t="s">
        <v>130</v>
      </c>
      <c r="C17" s="44">
        <f>COUNTA('LISTA COMPROBACION CU-5'!$C$8:$C$16)</f>
        <v>6</v>
      </c>
      <c r="D17" s="44">
        <f>COUNTA('LISTA COMPROBACION CU-5'!$D$8:$D$16)</f>
        <v>3</v>
      </c>
    </row>
    <row r="18" ht="36.75" customHeight="1">
      <c r="A18" s="43" t="s">
        <v>131</v>
      </c>
      <c r="C18" s="45">
        <f t="shared" ref="C18:D18" si="1">C17/9</f>
        <v>0.6666666667</v>
      </c>
      <c r="D18" s="45">
        <f t="shared" si="1"/>
        <v>0.3333333333</v>
      </c>
    </row>
    <row r="19" ht="36.75" customHeight="1">
      <c r="A19" s="43"/>
      <c r="B19" s="43"/>
      <c r="C19" s="45"/>
      <c r="D19" s="44"/>
    </row>
    <row r="20" ht="36.75" customHeight="1">
      <c r="A20" s="46" t="s">
        <v>132</v>
      </c>
      <c r="B20" s="47"/>
      <c r="C20" s="47"/>
      <c r="D20" s="47"/>
    </row>
    <row r="21" ht="36.75" customHeight="1">
      <c r="A21" s="48" t="s">
        <v>115</v>
      </c>
      <c r="B21" s="49" t="s">
        <v>116</v>
      </c>
      <c r="C21" s="50" t="s">
        <v>117</v>
      </c>
      <c r="D21" s="51" t="s">
        <v>118</v>
      </c>
    </row>
    <row r="22" ht="36.75" customHeight="1">
      <c r="A22" s="35">
        <v>1.0</v>
      </c>
      <c r="B22" s="36" t="s">
        <v>133</v>
      </c>
      <c r="C22" s="42" t="s">
        <v>120</v>
      </c>
      <c r="D22" s="38"/>
    </row>
    <row r="23" ht="36.75" customHeight="1">
      <c r="A23" s="35">
        <v>2.0</v>
      </c>
      <c r="B23" s="36" t="s">
        <v>134</v>
      </c>
      <c r="C23" s="42" t="s">
        <v>120</v>
      </c>
      <c r="D23" s="38"/>
    </row>
    <row r="24" ht="36.75" customHeight="1">
      <c r="A24" s="35">
        <v>3.0</v>
      </c>
      <c r="B24" s="36" t="s">
        <v>135</v>
      </c>
      <c r="C24" s="42" t="s">
        <v>120</v>
      </c>
      <c r="D24" s="38"/>
    </row>
    <row r="25" ht="36.75" customHeight="1">
      <c r="A25" s="35">
        <v>4.0</v>
      </c>
      <c r="B25" s="36" t="s">
        <v>136</v>
      </c>
      <c r="C25" s="42" t="s">
        <v>120</v>
      </c>
      <c r="D25" s="38"/>
    </row>
    <row r="26" ht="36.75" customHeight="1">
      <c r="A26" s="40">
        <v>5.0</v>
      </c>
      <c r="B26" s="41" t="s">
        <v>137</v>
      </c>
      <c r="C26" s="42"/>
      <c r="D26" s="59" t="s">
        <v>122</v>
      </c>
    </row>
    <row r="27" ht="36.75" customHeight="1">
      <c r="A27" s="43" t="s">
        <v>130</v>
      </c>
      <c r="C27" s="44">
        <f>COUNTA('LISTA COMPROBACION CU-5'!$C$22:$C$26)</f>
        <v>4</v>
      </c>
      <c r="D27" s="44">
        <f>COUNTA('LISTA COMPROBACION CU-5'!$D$22:$D$26)</f>
        <v>1</v>
      </c>
    </row>
    <row r="28" ht="36.75" customHeight="1">
      <c r="A28" s="43" t="s">
        <v>131</v>
      </c>
      <c r="C28" s="45">
        <f t="shared" ref="C28:D28" si="2">C27/5</f>
        <v>0.8</v>
      </c>
      <c r="D28" s="45">
        <f t="shared" si="2"/>
        <v>0.2</v>
      </c>
    </row>
    <row r="29" ht="36.75" customHeight="1">
      <c r="A29" s="43"/>
      <c r="B29" s="43"/>
      <c r="C29" s="45"/>
      <c r="D29" s="44"/>
    </row>
    <row r="30" ht="36.75" customHeight="1">
      <c r="A30" s="30" t="s">
        <v>138</v>
      </c>
    </row>
    <row r="31" ht="36.75" customHeight="1">
      <c r="A31" s="48" t="s">
        <v>115</v>
      </c>
      <c r="B31" s="49" t="s">
        <v>116</v>
      </c>
      <c r="C31" s="50" t="s">
        <v>117</v>
      </c>
      <c r="D31" s="51" t="s">
        <v>118</v>
      </c>
    </row>
    <row r="32" ht="36.75" customHeight="1">
      <c r="A32" s="35">
        <v>1.0</v>
      </c>
      <c r="B32" s="36" t="s">
        <v>139</v>
      </c>
      <c r="C32" s="42" t="s">
        <v>120</v>
      </c>
      <c r="D32" s="42"/>
    </row>
    <row r="33" ht="36.75" customHeight="1">
      <c r="A33" s="35">
        <v>2.0</v>
      </c>
      <c r="B33" s="36" t="s">
        <v>140</v>
      </c>
      <c r="C33" s="42" t="s">
        <v>120</v>
      </c>
      <c r="D33" s="42"/>
    </row>
    <row r="34" ht="36.75" customHeight="1">
      <c r="A34" s="40">
        <v>3.0</v>
      </c>
      <c r="B34" s="41" t="s">
        <v>141</v>
      </c>
      <c r="C34" s="42" t="s">
        <v>120</v>
      </c>
      <c r="D34" s="42"/>
    </row>
    <row r="35" ht="14.25" customHeight="1">
      <c r="A35" s="43" t="s">
        <v>130</v>
      </c>
      <c r="C35" s="55">
        <f>COUNTA('LISTA COMPROBACION CU-5'!$C$32:$C$34)</f>
        <v>3</v>
      </c>
      <c r="D35" s="55">
        <f>COUNTA('LISTA COMPROBACION CU-5'!$D$32:$D$34)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67.0</v>
      </c>
    </row>
    <row r="42" ht="30.0" customHeight="1">
      <c r="B42" s="23" t="s">
        <v>132</v>
      </c>
      <c r="C42" s="57">
        <v>80.0</v>
      </c>
    </row>
    <row r="43" ht="30.0" customHeight="1">
      <c r="B43" s="23" t="s">
        <v>138</v>
      </c>
      <c r="C43" s="57">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A6:D6"/>
    <mergeCell ref="A17:B17"/>
    <mergeCell ref="A20:D20"/>
    <mergeCell ref="C4:D4"/>
  </mergeCells>
  <conditionalFormatting sqref="D8:D16 D22:D26 D32:D34">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9.5" customHeight="1">
      <c r="B3" s="26" t="s">
        <v>109</v>
      </c>
      <c r="C3" s="28" t="s">
        <v>144</v>
      </c>
    </row>
    <row r="4" ht="14.25" customHeight="1">
      <c r="B4" s="26" t="s">
        <v>111</v>
      </c>
      <c r="C4" s="31" t="s">
        <v>12</v>
      </c>
    </row>
    <row r="5" ht="14.25" customHeight="1"/>
    <row r="6" ht="34.5" customHeight="1">
      <c r="A6" s="30" t="s">
        <v>113</v>
      </c>
    </row>
    <row r="7" ht="34.5" customHeight="1">
      <c r="A7" s="32" t="s">
        <v>115</v>
      </c>
      <c r="B7" s="33" t="s">
        <v>116</v>
      </c>
      <c r="C7" s="33" t="s">
        <v>117</v>
      </c>
      <c r="D7" s="34" t="s">
        <v>118</v>
      </c>
    </row>
    <row r="8" ht="34.5" customHeight="1">
      <c r="A8" s="35">
        <v>1.0</v>
      </c>
      <c r="B8" s="36" t="s">
        <v>119</v>
      </c>
      <c r="C8" s="37" t="s">
        <v>120</v>
      </c>
      <c r="D8" s="38"/>
    </row>
    <row r="9" ht="34.5" customHeight="1">
      <c r="A9" s="35">
        <v>2.0</v>
      </c>
      <c r="B9" s="36" t="s">
        <v>121</v>
      </c>
      <c r="C9" s="38"/>
      <c r="D9" s="37" t="s">
        <v>120</v>
      </c>
    </row>
    <row r="10" ht="34.5" customHeight="1">
      <c r="A10" s="35">
        <v>3.0</v>
      </c>
      <c r="B10" s="36" t="s">
        <v>123</v>
      </c>
      <c r="C10" s="37" t="s">
        <v>120</v>
      </c>
      <c r="D10" s="38"/>
    </row>
    <row r="11" ht="34.5" customHeight="1">
      <c r="A11" s="35">
        <v>4.0</v>
      </c>
      <c r="B11" s="36" t="s">
        <v>124</v>
      </c>
      <c r="C11" s="37" t="s">
        <v>120</v>
      </c>
      <c r="D11" s="38"/>
    </row>
    <row r="12" ht="34.5" customHeight="1">
      <c r="A12" s="35">
        <v>5.0</v>
      </c>
      <c r="B12" s="36" t="s">
        <v>125</v>
      </c>
      <c r="C12" s="37" t="s">
        <v>120</v>
      </c>
      <c r="D12" s="38"/>
    </row>
    <row r="13" ht="34.5" customHeight="1">
      <c r="A13" s="35">
        <v>6.0</v>
      </c>
      <c r="B13" s="36" t="s">
        <v>126</v>
      </c>
      <c r="C13" s="37" t="s">
        <v>120</v>
      </c>
      <c r="D13" s="38"/>
    </row>
    <row r="14" ht="34.5" customHeight="1">
      <c r="A14" s="35">
        <v>7.0</v>
      </c>
      <c r="B14" s="36" t="s">
        <v>127</v>
      </c>
      <c r="C14" s="38"/>
      <c r="D14" s="37" t="s">
        <v>120</v>
      </c>
    </row>
    <row r="15" ht="34.5" customHeight="1">
      <c r="A15" s="35">
        <v>8.0</v>
      </c>
      <c r="B15" s="36" t="s">
        <v>128</v>
      </c>
      <c r="C15" s="37" t="s">
        <v>120</v>
      </c>
      <c r="D15" s="38"/>
    </row>
    <row r="16" ht="34.5" customHeight="1">
      <c r="A16" s="40">
        <v>9.0</v>
      </c>
      <c r="B16" s="41" t="s">
        <v>129</v>
      </c>
      <c r="C16" s="42"/>
      <c r="D16" s="42" t="s">
        <v>120</v>
      </c>
    </row>
    <row r="17" ht="34.5" customHeight="1">
      <c r="A17" s="43" t="s">
        <v>130</v>
      </c>
      <c r="C17" s="44">
        <f>COUNTA('LISTA COMPROBACION CU-6'!$C$8:$C$16)</f>
        <v>6</v>
      </c>
      <c r="D17" s="44">
        <f>COUNTA('LISTA COMPROBACION CU-6'!$D$8:$D$16)</f>
        <v>3</v>
      </c>
    </row>
    <row r="18" ht="34.5" customHeight="1">
      <c r="A18" s="43" t="s">
        <v>131</v>
      </c>
      <c r="C18" s="45">
        <f t="shared" ref="C18:D18" si="1">C17/9</f>
        <v>0.6666666667</v>
      </c>
      <c r="D18" s="45">
        <f t="shared" si="1"/>
        <v>0.3333333333</v>
      </c>
    </row>
    <row r="19" ht="34.5" customHeight="1">
      <c r="A19" s="43"/>
      <c r="B19" s="43"/>
      <c r="C19" s="45"/>
      <c r="D19" s="44"/>
    </row>
    <row r="20" ht="34.5" customHeight="1">
      <c r="A20" s="46" t="s">
        <v>132</v>
      </c>
      <c r="B20" s="47"/>
      <c r="C20" s="47"/>
      <c r="D20" s="47"/>
    </row>
    <row r="21" ht="34.5" customHeight="1">
      <c r="A21" s="48" t="s">
        <v>115</v>
      </c>
      <c r="B21" s="49" t="s">
        <v>116</v>
      </c>
      <c r="C21" s="50" t="s">
        <v>117</v>
      </c>
      <c r="D21" s="51" t="s">
        <v>118</v>
      </c>
    </row>
    <row r="22" ht="34.5" customHeight="1">
      <c r="A22" s="35">
        <v>1.0</v>
      </c>
      <c r="B22" s="36" t="s">
        <v>133</v>
      </c>
      <c r="C22" s="42" t="s">
        <v>120</v>
      </c>
      <c r="D22" s="38"/>
    </row>
    <row r="23" ht="34.5" customHeight="1">
      <c r="A23" s="35">
        <v>2.0</v>
      </c>
      <c r="B23" s="36" t="s">
        <v>134</v>
      </c>
      <c r="C23" s="42" t="s">
        <v>120</v>
      </c>
      <c r="D23" s="38"/>
    </row>
    <row r="24" ht="34.5" customHeight="1">
      <c r="A24" s="35">
        <v>3.0</v>
      </c>
      <c r="B24" s="36" t="s">
        <v>135</v>
      </c>
      <c r="C24" s="42" t="s">
        <v>120</v>
      </c>
      <c r="D24" s="38"/>
    </row>
    <row r="25" ht="34.5" customHeight="1">
      <c r="A25" s="35">
        <v>4.0</v>
      </c>
      <c r="B25" s="36" t="s">
        <v>136</v>
      </c>
      <c r="C25" s="38"/>
      <c r="D25" s="42" t="s">
        <v>120</v>
      </c>
    </row>
    <row r="26" ht="34.5" customHeight="1">
      <c r="A26" s="40">
        <v>5.0</v>
      </c>
      <c r="B26" s="41" t="s">
        <v>137</v>
      </c>
      <c r="C26" s="42" t="s">
        <v>120</v>
      </c>
      <c r="D26" s="52"/>
    </row>
    <row r="27" ht="34.5" customHeight="1">
      <c r="A27" s="43" t="s">
        <v>130</v>
      </c>
      <c r="C27" s="44">
        <f>COUNTA('LISTA COMPROBACION CU-6'!$C$22:$C$26)</f>
        <v>4</v>
      </c>
      <c r="D27" s="44">
        <f>COUNTA('LISTA COMPROBACION CU-6'!$D$22:$D$26)</f>
        <v>1</v>
      </c>
    </row>
    <row r="28" ht="34.5" customHeight="1">
      <c r="A28" s="43" t="s">
        <v>131</v>
      </c>
      <c r="C28" s="45">
        <f t="shared" ref="C28:D28" si="2">C27/5</f>
        <v>0.8</v>
      </c>
      <c r="D28" s="45">
        <f t="shared" si="2"/>
        <v>0.2</v>
      </c>
    </row>
    <row r="29" ht="34.5" customHeight="1">
      <c r="A29" s="43"/>
      <c r="B29" s="43"/>
      <c r="C29" s="45"/>
      <c r="D29" s="44"/>
    </row>
    <row r="30" ht="34.5" customHeight="1">
      <c r="A30" s="30" t="s">
        <v>138</v>
      </c>
    </row>
    <row r="31" ht="34.5" customHeight="1">
      <c r="A31" s="48" t="s">
        <v>115</v>
      </c>
      <c r="B31" s="49" t="s">
        <v>116</v>
      </c>
      <c r="C31" s="50" t="s">
        <v>117</v>
      </c>
      <c r="D31" s="51" t="s">
        <v>118</v>
      </c>
    </row>
    <row r="32" ht="34.5" customHeight="1">
      <c r="A32" s="35">
        <v>1.0</v>
      </c>
      <c r="B32" s="36" t="s">
        <v>139</v>
      </c>
      <c r="C32" s="42" t="s">
        <v>120</v>
      </c>
      <c r="D32" s="42"/>
    </row>
    <row r="33" ht="34.5" customHeight="1">
      <c r="A33" s="35">
        <v>2.0</v>
      </c>
      <c r="B33" s="36" t="s">
        <v>140</v>
      </c>
      <c r="C33" s="42" t="s">
        <v>120</v>
      </c>
      <c r="D33" s="42"/>
    </row>
    <row r="34" ht="34.5" customHeight="1">
      <c r="A34" s="40">
        <v>3.0</v>
      </c>
      <c r="B34" s="41" t="s">
        <v>141</v>
      </c>
      <c r="C34" s="42" t="s">
        <v>120</v>
      </c>
      <c r="D34" s="42"/>
    </row>
    <row r="35" ht="14.25" customHeight="1">
      <c r="A35" s="43" t="s">
        <v>130</v>
      </c>
      <c r="C35" s="55">
        <f>COUNTA('LISTA COMPROBACION CU-6'!$C$32:$C$34)</f>
        <v>3</v>
      </c>
      <c r="D35" s="55">
        <f>COUNTA('LISTA COMPROBACION CU-6'!$D$32:$D$34)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67.0</v>
      </c>
    </row>
    <row r="42" ht="30.0" customHeight="1">
      <c r="B42" s="23" t="s">
        <v>132</v>
      </c>
      <c r="C42" s="57">
        <v>80.0</v>
      </c>
    </row>
    <row r="43" ht="30.0" customHeight="1">
      <c r="B43" s="23" t="s">
        <v>138</v>
      </c>
      <c r="C43" s="57">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C14 D22:D26 C25 D32:D34">
    <cfRule type="containsText" dxfId="11" priority="1" operator="containsText" text="X">
      <formula>NOT(ISERROR(SEARCH(("X"),(D8))))</formula>
    </cfRule>
  </conditionalFormatting>
  <conditionalFormatting sqref="C8:C16 D14 C22:C26 C32:C34">
    <cfRule type="containsText" dxfId="12" priority="2" operator="containsText" text="X">
      <formula>NOT(ISERROR(SEARCH(("X"),(C8))))</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7.57"/>
    <col customWidth="1" min="3" max="3" width="16.14"/>
    <col customWidth="1" min="4" max="4" width="23.43"/>
    <col customWidth="1" min="5" max="24" width="10.71"/>
  </cols>
  <sheetData>
    <row r="1" ht="16.5"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112</v>
      </c>
    </row>
    <row r="4" ht="14.25" customHeight="1">
      <c r="B4" s="26" t="s">
        <v>111</v>
      </c>
      <c r="C4" s="28" t="s">
        <v>13</v>
      </c>
    </row>
    <row r="5" ht="14.25" customHeight="1"/>
    <row r="6" ht="45.0" customHeight="1">
      <c r="A6" s="30" t="s">
        <v>113</v>
      </c>
    </row>
    <row r="7" ht="45.0" customHeight="1">
      <c r="A7" s="32" t="s">
        <v>115</v>
      </c>
      <c r="B7" s="33" t="s">
        <v>116</v>
      </c>
      <c r="C7" s="33" t="s">
        <v>117</v>
      </c>
      <c r="D7" s="34" t="s">
        <v>118</v>
      </c>
    </row>
    <row r="8" ht="45.0" customHeight="1">
      <c r="A8" s="35">
        <v>1.0</v>
      </c>
      <c r="B8" s="36" t="s">
        <v>119</v>
      </c>
      <c r="C8" s="37" t="s">
        <v>120</v>
      </c>
      <c r="D8" s="38"/>
    </row>
    <row r="9" ht="45.0" customHeight="1">
      <c r="A9" s="35">
        <v>2.0</v>
      </c>
      <c r="B9" s="36" t="s">
        <v>121</v>
      </c>
      <c r="C9" s="37"/>
      <c r="D9" s="39" t="s">
        <v>120</v>
      </c>
    </row>
    <row r="10" ht="45.0" customHeight="1">
      <c r="A10" s="35">
        <v>3.0</v>
      </c>
      <c r="B10" s="36" t="s">
        <v>123</v>
      </c>
      <c r="C10" s="37" t="s">
        <v>120</v>
      </c>
      <c r="D10" s="38"/>
    </row>
    <row r="11" ht="45.0" customHeight="1">
      <c r="A11" s="35">
        <v>4.0</v>
      </c>
      <c r="B11" s="36" t="s">
        <v>124</v>
      </c>
      <c r="C11" s="37" t="s">
        <v>120</v>
      </c>
      <c r="D11" s="38"/>
    </row>
    <row r="12" ht="45.0" customHeight="1">
      <c r="A12" s="35">
        <v>5.0</v>
      </c>
      <c r="B12" s="36" t="s">
        <v>125</v>
      </c>
      <c r="C12" s="37" t="s">
        <v>120</v>
      </c>
      <c r="D12" s="38"/>
    </row>
    <row r="13" ht="45.0" customHeight="1">
      <c r="A13" s="35">
        <v>6.0</v>
      </c>
      <c r="B13" s="36" t="s">
        <v>126</v>
      </c>
      <c r="C13" s="37" t="s">
        <v>120</v>
      </c>
      <c r="D13" s="38"/>
    </row>
    <row r="14" ht="45.0" customHeight="1">
      <c r="A14" s="35">
        <v>7.0</v>
      </c>
      <c r="B14" s="36" t="s">
        <v>127</v>
      </c>
      <c r="C14" s="37"/>
      <c r="D14" s="39" t="s">
        <v>120</v>
      </c>
    </row>
    <row r="15" ht="45.0" customHeight="1">
      <c r="A15" s="35">
        <v>8.0</v>
      </c>
      <c r="B15" s="36" t="s">
        <v>128</v>
      </c>
      <c r="C15" s="37" t="s">
        <v>120</v>
      </c>
      <c r="D15" s="38"/>
    </row>
    <row r="16" ht="45.0" customHeight="1">
      <c r="A16" s="40">
        <v>9.0</v>
      </c>
      <c r="B16" s="41" t="s">
        <v>129</v>
      </c>
      <c r="C16" s="42"/>
      <c r="D16" s="42" t="s">
        <v>120</v>
      </c>
    </row>
    <row r="17" ht="45.0" customHeight="1">
      <c r="A17" s="43" t="s">
        <v>130</v>
      </c>
      <c r="C17" s="44">
        <f>COUNTA('LISTA COMPROBACION CU-7'!$C$8:$C$16)</f>
        <v>6</v>
      </c>
      <c r="D17" s="44">
        <f>COUNTA('LISTA COMPROBACION CU-7'!$D$8:$D$16)</f>
        <v>3</v>
      </c>
    </row>
    <row r="18" ht="45.0" customHeight="1">
      <c r="A18" s="43" t="s">
        <v>131</v>
      </c>
      <c r="C18" s="45">
        <f t="shared" ref="C18:D18" si="1">C17/9</f>
        <v>0.6666666667</v>
      </c>
      <c r="D18" s="45">
        <f t="shared" si="1"/>
        <v>0.3333333333</v>
      </c>
    </row>
    <row r="19" ht="45.0" customHeight="1">
      <c r="A19" s="43"/>
      <c r="B19" s="43"/>
      <c r="C19" s="45"/>
      <c r="D19" s="44"/>
    </row>
    <row r="20" ht="45.0" customHeight="1">
      <c r="A20" s="46" t="s">
        <v>132</v>
      </c>
      <c r="B20" s="47"/>
      <c r="C20" s="47"/>
      <c r="D20" s="47"/>
    </row>
    <row r="21" ht="45.0" customHeight="1">
      <c r="A21" s="48" t="s">
        <v>115</v>
      </c>
      <c r="B21" s="49" t="s">
        <v>116</v>
      </c>
      <c r="C21" s="50" t="s">
        <v>117</v>
      </c>
      <c r="D21" s="51" t="s">
        <v>118</v>
      </c>
    </row>
    <row r="22" ht="45.0" customHeight="1">
      <c r="A22" s="35">
        <v>1.0</v>
      </c>
      <c r="B22" s="36" t="s">
        <v>133</v>
      </c>
      <c r="C22" s="42" t="s">
        <v>120</v>
      </c>
      <c r="D22" s="38"/>
    </row>
    <row r="23" ht="45.0" customHeight="1">
      <c r="A23" s="35">
        <v>2.0</v>
      </c>
      <c r="B23" s="36" t="s">
        <v>134</v>
      </c>
      <c r="C23" s="42" t="s">
        <v>120</v>
      </c>
      <c r="D23" s="38"/>
    </row>
    <row r="24" ht="45.0" customHeight="1">
      <c r="A24" s="35">
        <v>3.0</v>
      </c>
      <c r="B24" s="36" t="s">
        <v>135</v>
      </c>
      <c r="C24" s="42" t="s">
        <v>120</v>
      </c>
      <c r="D24" s="38"/>
    </row>
    <row r="25" ht="45.0" customHeight="1">
      <c r="A25" s="35">
        <v>4.0</v>
      </c>
      <c r="B25" s="36" t="s">
        <v>136</v>
      </c>
      <c r="C25" s="42"/>
      <c r="D25" s="39" t="s">
        <v>120</v>
      </c>
    </row>
    <row r="26" ht="45.0" customHeight="1">
      <c r="A26" s="40">
        <v>5.0</v>
      </c>
      <c r="B26" s="41" t="s">
        <v>137</v>
      </c>
      <c r="C26" s="42" t="s">
        <v>120</v>
      </c>
      <c r="D26" s="52"/>
    </row>
    <row r="27" ht="45.0" customHeight="1">
      <c r="A27" s="43" t="s">
        <v>130</v>
      </c>
      <c r="C27" s="44">
        <f>COUNTA('LISTA COMPROBACION CU-7'!$C$22:$C$26)</f>
        <v>4</v>
      </c>
      <c r="D27" s="44">
        <f>COUNTA('LISTA COMPROBACION CU-7'!$D$22:$D$26)</f>
        <v>1</v>
      </c>
    </row>
    <row r="28" ht="45.0" customHeight="1">
      <c r="A28" s="43" t="s">
        <v>131</v>
      </c>
      <c r="C28" s="45">
        <f t="shared" ref="C28:D28" si="2">C27/5</f>
        <v>0.8</v>
      </c>
      <c r="D28" s="45">
        <f t="shared" si="2"/>
        <v>0.2</v>
      </c>
    </row>
    <row r="29" ht="45.0" customHeight="1">
      <c r="A29" s="43"/>
      <c r="B29" s="43"/>
      <c r="C29" s="45"/>
      <c r="D29" s="44"/>
    </row>
    <row r="30" ht="45.0" customHeight="1">
      <c r="A30" s="30" t="s">
        <v>138</v>
      </c>
    </row>
    <row r="31" ht="45.0" customHeight="1">
      <c r="A31" s="48" t="s">
        <v>115</v>
      </c>
      <c r="B31" s="49" t="s">
        <v>116</v>
      </c>
      <c r="C31" s="50" t="s">
        <v>117</v>
      </c>
      <c r="D31" s="51" t="s">
        <v>118</v>
      </c>
    </row>
    <row r="32" ht="45.0" customHeight="1">
      <c r="A32" s="35">
        <v>1.0</v>
      </c>
      <c r="B32" s="36" t="s">
        <v>139</v>
      </c>
      <c r="C32" s="42" t="s">
        <v>120</v>
      </c>
      <c r="D32" s="42"/>
    </row>
    <row r="33" ht="45.0" customHeight="1">
      <c r="A33" s="35">
        <v>2.0</v>
      </c>
      <c r="B33" s="36" t="s">
        <v>140</v>
      </c>
      <c r="C33" s="42" t="s">
        <v>120</v>
      </c>
      <c r="D33" s="42"/>
    </row>
    <row r="34" ht="45.0" customHeight="1">
      <c r="A34" s="40">
        <v>3.0</v>
      </c>
      <c r="B34" s="41" t="s">
        <v>141</v>
      </c>
      <c r="C34" s="42" t="s">
        <v>120</v>
      </c>
      <c r="D34" s="42"/>
    </row>
    <row r="35" ht="14.25" customHeight="1">
      <c r="A35" s="43" t="s">
        <v>130</v>
      </c>
      <c r="C35" s="55">
        <f>COUNTA('LISTA COMPROBACION CU-7'!$C$32:$C$34)</f>
        <v>3</v>
      </c>
      <c r="D35" s="55">
        <f>COUNTA('LISTA COMPROBACION CU-7'!$D$32:$D$34)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67.0</v>
      </c>
    </row>
    <row r="42" ht="30.0" customHeight="1">
      <c r="B42" s="23" t="s">
        <v>132</v>
      </c>
      <c r="C42" s="57">
        <v>80.0</v>
      </c>
    </row>
    <row r="43" ht="30.0" customHeight="1">
      <c r="B43" s="23" t="s">
        <v>138</v>
      </c>
      <c r="C43" s="44">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22:D26">
    <cfRule type="containsText" dxfId="13" priority="2" operator="containsText" text="X">
      <formula>NOT(ISERROR(SEARCH(("X"),(C22))))</formula>
    </cfRule>
  </conditionalFormatting>
  <conditionalFormatting sqref="C22:D26">
    <cfRule type="containsText" dxfId="14" priority="3" operator="containsText" text="X">
      <formula>NOT(ISERROR(SEARCH(("X"),(C22))))</formula>
    </cfRule>
  </conditionalFormatting>
  <conditionalFormatting sqref="C8:C16 C22:C26 C32:C34">
    <cfRule type="containsText" dxfId="12" priority="4" operator="containsText" text="X">
      <formula>NOT(ISERROR(SEARCH(("X"),(C8))))</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0.57"/>
    <col customWidth="1" min="3" max="3" width="16.14"/>
    <col customWidth="1" min="4" max="4" width="34.71"/>
    <col customWidth="1" min="5" max="24" width="10.71"/>
  </cols>
  <sheetData>
    <row r="1" ht="16.5" customHeight="1">
      <c r="A1" s="23"/>
      <c r="B1" s="24" t="s">
        <v>1</v>
      </c>
      <c r="C1" s="25" t="s">
        <v>2</v>
      </c>
      <c r="E1" s="23"/>
      <c r="F1" s="23"/>
      <c r="G1" s="23"/>
      <c r="H1" s="23"/>
      <c r="I1" s="23"/>
      <c r="J1" s="23"/>
      <c r="K1" s="23"/>
      <c r="L1" s="23"/>
      <c r="M1" s="23"/>
      <c r="N1" s="23"/>
      <c r="O1" s="23"/>
      <c r="P1" s="23"/>
      <c r="Q1" s="23"/>
      <c r="R1" s="23"/>
      <c r="S1" s="23"/>
      <c r="T1" s="23"/>
      <c r="U1" s="23"/>
      <c r="V1" s="23"/>
      <c r="W1" s="23"/>
      <c r="X1" s="23"/>
      <c r="Y1" s="23"/>
      <c r="Z1" s="23"/>
    </row>
    <row r="2" ht="14.25" customHeight="1">
      <c r="B2" s="26" t="s">
        <v>108</v>
      </c>
      <c r="C2" s="27">
        <v>46296.0</v>
      </c>
    </row>
    <row r="3" ht="14.25" customHeight="1">
      <c r="B3" s="26" t="s">
        <v>109</v>
      </c>
      <c r="C3" s="28" t="s">
        <v>152</v>
      </c>
    </row>
    <row r="4" ht="14.25" customHeight="1">
      <c r="B4" s="26" t="s">
        <v>111</v>
      </c>
      <c r="C4" s="62" t="s">
        <v>153</v>
      </c>
    </row>
    <row r="5" ht="14.25" customHeight="1"/>
    <row r="6" ht="34.5" customHeight="1">
      <c r="A6" s="30" t="s">
        <v>113</v>
      </c>
    </row>
    <row r="7" ht="34.5" customHeight="1">
      <c r="A7" s="32" t="s">
        <v>115</v>
      </c>
      <c r="B7" s="33" t="s">
        <v>116</v>
      </c>
      <c r="C7" s="33" t="s">
        <v>117</v>
      </c>
      <c r="D7" s="34" t="s">
        <v>118</v>
      </c>
    </row>
    <row r="8" ht="34.5" customHeight="1">
      <c r="A8" s="35">
        <v>1.0</v>
      </c>
      <c r="B8" s="36" t="s">
        <v>119</v>
      </c>
      <c r="C8" s="37" t="s">
        <v>120</v>
      </c>
      <c r="D8" s="38"/>
    </row>
    <row r="9" ht="34.5" customHeight="1">
      <c r="A9" s="35">
        <v>2.0</v>
      </c>
      <c r="B9" s="36" t="s">
        <v>121</v>
      </c>
      <c r="C9" s="37"/>
      <c r="D9" s="39" t="s">
        <v>120</v>
      </c>
    </row>
    <row r="10" ht="34.5" customHeight="1">
      <c r="A10" s="35">
        <v>3.0</v>
      </c>
      <c r="B10" s="36" t="s">
        <v>123</v>
      </c>
      <c r="C10" s="37" t="s">
        <v>120</v>
      </c>
      <c r="D10" s="38"/>
    </row>
    <row r="11" ht="34.5" customHeight="1">
      <c r="A11" s="35">
        <v>4.0</v>
      </c>
      <c r="B11" s="36" t="s">
        <v>124</v>
      </c>
      <c r="C11" s="37" t="s">
        <v>120</v>
      </c>
      <c r="D11" s="38"/>
    </row>
    <row r="12" ht="34.5" customHeight="1">
      <c r="A12" s="35">
        <v>5.0</v>
      </c>
      <c r="B12" s="36" t="s">
        <v>125</v>
      </c>
      <c r="C12" s="37" t="s">
        <v>120</v>
      </c>
      <c r="D12" s="38"/>
    </row>
    <row r="13" ht="34.5" customHeight="1">
      <c r="A13" s="35">
        <v>6.0</v>
      </c>
      <c r="B13" s="36" t="s">
        <v>126</v>
      </c>
      <c r="C13" s="37" t="s">
        <v>120</v>
      </c>
      <c r="D13" s="38"/>
    </row>
    <row r="14" ht="34.5" customHeight="1">
      <c r="A14" s="35">
        <v>7.0</v>
      </c>
      <c r="B14" s="36" t="s">
        <v>127</v>
      </c>
      <c r="C14" s="67" t="s">
        <v>120</v>
      </c>
      <c r="D14" s="37"/>
    </row>
    <row r="15" ht="34.5" customHeight="1">
      <c r="A15" s="35">
        <v>8.0</v>
      </c>
      <c r="B15" s="36" t="s">
        <v>128</v>
      </c>
      <c r="C15" s="37" t="s">
        <v>120</v>
      </c>
      <c r="D15" s="38"/>
    </row>
    <row r="16" ht="34.5" customHeight="1">
      <c r="A16" s="40">
        <v>9.0</v>
      </c>
      <c r="B16" s="41" t="s">
        <v>129</v>
      </c>
      <c r="C16" s="54" t="s">
        <v>120</v>
      </c>
      <c r="D16" s="42"/>
    </row>
    <row r="17" ht="34.5" customHeight="1">
      <c r="A17" s="43" t="s">
        <v>130</v>
      </c>
      <c r="C17" s="44">
        <f>COUNTA('LISTA COMPROBACION CU-8'!$C$8:$C$16)</f>
        <v>8</v>
      </c>
      <c r="D17" s="44">
        <f>COUNTA('LISTA COMPROBACION CU-8'!$D$8:$D$16)</f>
        <v>1</v>
      </c>
    </row>
    <row r="18" ht="34.5" customHeight="1">
      <c r="A18" s="43" t="s">
        <v>131</v>
      </c>
      <c r="C18" s="45">
        <f t="shared" ref="C18:D18" si="1">C17/9</f>
        <v>0.8888888889</v>
      </c>
      <c r="D18" s="45">
        <f t="shared" si="1"/>
        <v>0.1111111111</v>
      </c>
    </row>
    <row r="19" ht="34.5" customHeight="1">
      <c r="A19" s="43"/>
      <c r="B19" s="43"/>
      <c r="C19" s="45"/>
      <c r="D19" s="44"/>
    </row>
    <row r="20" ht="34.5" customHeight="1">
      <c r="A20" s="46" t="s">
        <v>132</v>
      </c>
      <c r="B20" s="47"/>
      <c r="C20" s="47"/>
      <c r="D20" s="47"/>
    </row>
    <row r="21" ht="34.5" customHeight="1">
      <c r="A21" s="48" t="s">
        <v>115</v>
      </c>
      <c r="B21" s="49" t="s">
        <v>116</v>
      </c>
      <c r="C21" s="50" t="s">
        <v>117</v>
      </c>
      <c r="D21" s="51" t="s">
        <v>118</v>
      </c>
    </row>
    <row r="22" ht="34.5" customHeight="1">
      <c r="A22" s="35">
        <v>1.0</v>
      </c>
      <c r="B22" s="36" t="s">
        <v>133</v>
      </c>
      <c r="C22" s="42" t="s">
        <v>120</v>
      </c>
      <c r="D22" s="38"/>
    </row>
    <row r="23" ht="34.5" customHeight="1">
      <c r="A23" s="35">
        <v>2.0</v>
      </c>
      <c r="B23" s="36" t="s">
        <v>134</v>
      </c>
      <c r="C23" s="42" t="s">
        <v>120</v>
      </c>
      <c r="D23" s="38"/>
    </row>
    <row r="24" ht="34.5" customHeight="1">
      <c r="A24" s="35">
        <v>3.0</v>
      </c>
      <c r="B24" s="36" t="s">
        <v>135</v>
      </c>
      <c r="C24" s="42" t="s">
        <v>120</v>
      </c>
      <c r="D24" s="38"/>
    </row>
    <row r="25" ht="34.5" customHeight="1">
      <c r="A25" s="35">
        <v>4.0</v>
      </c>
      <c r="B25" s="36" t="s">
        <v>136</v>
      </c>
      <c r="C25" s="42" t="s">
        <v>120</v>
      </c>
      <c r="D25" s="38"/>
    </row>
    <row r="26" ht="34.5" customHeight="1">
      <c r="A26" s="40">
        <v>5.0</v>
      </c>
      <c r="B26" s="41" t="s">
        <v>137</v>
      </c>
      <c r="C26" s="42" t="s">
        <v>120</v>
      </c>
      <c r="D26" s="52"/>
    </row>
    <row r="27" ht="34.5" customHeight="1">
      <c r="A27" s="43" t="s">
        <v>130</v>
      </c>
      <c r="C27" s="44">
        <f>COUNTA('LISTA COMPROBACION CU-8'!$C$22:$C$26)</f>
        <v>5</v>
      </c>
      <c r="D27" s="44">
        <f>COUNTA('LISTA COMPROBACION CU-8'!$D$22:$D$26)</f>
        <v>0</v>
      </c>
    </row>
    <row r="28" ht="34.5" customHeight="1">
      <c r="A28" s="43" t="s">
        <v>131</v>
      </c>
      <c r="C28" s="45">
        <f t="shared" ref="C28:D28" si="2">C27/5</f>
        <v>1</v>
      </c>
      <c r="D28" s="45">
        <f t="shared" si="2"/>
        <v>0</v>
      </c>
    </row>
    <row r="29" ht="34.5" customHeight="1">
      <c r="A29" s="43"/>
      <c r="B29" s="43"/>
      <c r="C29" s="45"/>
      <c r="D29" s="44"/>
    </row>
    <row r="30" ht="34.5" customHeight="1">
      <c r="A30" s="30" t="s">
        <v>138</v>
      </c>
    </row>
    <row r="31" ht="34.5" customHeight="1">
      <c r="A31" s="48" t="s">
        <v>115</v>
      </c>
      <c r="B31" s="49" t="s">
        <v>116</v>
      </c>
      <c r="C31" s="50" t="s">
        <v>117</v>
      </c>
      <c r="D31" s="51" t="s">
        <v>118</v>
      </c>
    </row>
    <row r="32" ht="34.5" customHeight="1">
      <c r="A32" s="35">
        <v>1.0</v>
      </c>
      <c r="B32" s="36" t="s">
        <v>139</v>
      </c>
      <c r="C32" s="54" t="s">
        <v>120</v>
      </c>
      <c r="D32" s="42"/>
    </row>
    <row r="33" ht="34.5" customHeight="1">
      <c r="A33" s="35">
        <v>2.0</v>
      </c>
      <c r="B33" s="36" t="s">
        <v>140</v>
      </c>
      <c r="C33" s="54" t="s">
        <v>120</v>
      </c>
      <c r="D33" s="42"/>
    </row>
    <row r="34" ht="34.5" customHeight="1">
      <c r="A34" s="40">
        <v>3.0</v>
      </c>
      <c r="B34" s="41" t="s">
        <v>141</v>
      </c>
      <c r="C34" s="42" t="s">
        <v>120</v>
      </c>
      <c r="D34" s="42"/>
    </row>
    <row r="35" ht="14.25" customHeight="1">
      <c r="A35" s="43" t="s">
        <v>130</v>
      </c>
      <c r="C35" s="55">
        <f>COUNTA('LISTA COMPROBACION CU-8'!$C$32:$C$34)</f>
        <v>3</v>
      </c>
      <c r="D35" s="55">
        <f>COUNTA('LISTA COMPROBACION CU-8'!$D$32:$D$34)</f>
        <v>0</v>
      </c>
    </row>
    <row r="36" ht="14.25" customHeight="1">
      <c r="A36" s="43" t="s">
        <v>131</v>
      </c>
      <c r="C36" s="45">
        <f t="shared" ref="C36:D36" si="3">C35/3</f>
        <v>1</v>
      </c>
      <c r="D36" s="45">
        <f t="shared" si="3"/>
        <v>0</v>
      </c>
    </row>
    <row r="37" ht="14.25" customHeight="1"/>
    <row r="38" ht="14.25" customHeight="1"/>
    <row r="39" ht="14.25" customHeight="1"/>
    <row r="40" ht="14.25" customHeight="1">
      <c r="A40" s="56" t="s">
        <v>142</v>
      </c>
    </row>
    <row r="41" ht="30.0" customHeight="1">
      <c r="B41" s="23" t="s">
        <v>143</v>
      </c>
      <c r="C41" s="57">
        <v>89.0</v>
      </c>
    </row>
    <row r="42" ht="30.0" customHeight="1">
      <c r="B42" s="23" t="s">
        <v>132</v>
      </c>
      <c r="C42" s="44">
        <v>100.0</v>
      </c>
    </row>
    <row r="43" ht="30.0" customHeight="1">
      <c r="B43" s="23" t="s">
        <v>138</v>
      </c>
      <c r="C43" s="57">
        <v>100.0</v>
      </c>
    </row>
    <row r="44" ht="14.25" customHeight="1">
      <c r="C44" s="44"/>
    </row>
    <row r="45" ht="14.25" customHeight="1">
      <c r="C45" s="44"/>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6" width="10.71"/>
  </cols>
  <sheetData>
    <row r="1" ht="14.25" customHeight="1">
      <c r="A1" s="60" t="s">
        <v>146</v>
      </c>
      <c r="B1" s="60" t="s">
        <v>147</v>
      </c>
    </row>
    <row r="2" ht="113.25" customHeight="1">
      <c r="A2" s="61" t="s">
        <v>148</v>
      </c>
      <c r="B2" s="61" t="s">
        <v>149</v>
      </c>
    </row>
    <row r="3" ht="101.25" customHeight="1">
      <c r="A3" s="61" t="s">
        <v>150</v>
      </c>
      <c r="B3" s="61" t="s">
        <v>151</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57.29"/>
    <col customWidth="1" min="3" max="6" width="10.71"/>
  </cols>
  <sheetData>
    <row r="1" ht="14.25" customHeight="1">
      <c r="A1" s="60" t="s">
        <v>146</v>
      </c>
      <c r="B1" s="60" t="s">
        <v>147</v>
      </c>
    </row>
    <row r="2" ht="87.75" customHeight="1">
      <c r="A2" s="63" t="s">
        <v>154</v>
      </c>
      <c r="B2" s="64" t="s">
        <v>155</v>
      </c>
    </row>
    <row r="3" ht="87.75" customHeight="1">
      <c r="A3" s="64" t="s">
        <v>156</v>
      </c>
      <c r="B3" s="64" t="s">
        <v>157</v>
      </c>
    </row>
    <row r="4" ht="87.75" customHeight="1">
      <c r="A4" s="65" t="s">
        <v>158</v>
      </c>
      <c r="B4" s="64" t="s">
        <v>159</v>
      </c>
    </row>
    <row r="5" ht="87.75" customHeight="1">
      <c r="A5" s="66" t="s">
        <v>160</v>
      </c>
      <c r="B5" s="66" t="s">
        <v>161</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57.29"/>
    <col customWidth="1" min="3" max="6" width="10.71"/>
  </cols>
  <sheetData>
    <row r="1" ht="14.25" customHeight="1">
      <c r="A1" s="60" t="s">
        <v>146</v>
      </c>
      <c r="B1" s="60" t="s">
        <v>147</v>
      </c>
    </row>
    <row r="2" ht="87.75" customHeight="1">
      <c r="A2" s="63" t="s">
        <v>162</v>
      </c>
      <c r="B2" s="63" t="s">
        <v>163</v>
      </c>
    </row>
    <row r="3" ht="87.75" customHeight="1">
      <c r="A3" s="63" t="s">
        <v>164</v>
      </c>
      <c r="B3" s="63" t="s">
        <v>165</v>
      </c>
    </row>
    <row r="4" ht="87.75" customHeight="1">
      <c r="A4" s="63" t="s">
        <v>166</v>
      </c>
      <c r="B4" s="63" t="s">
        <v>167</v>
      </c>
    </row>
    <row r="5" ht="87.75" customHeight="1">
      <c r="A5" s="68" t="s">
        <v>168</v>
      </c>
      <c r="B5" s="68" t="s">
        <v>170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57.29"/>
    <col customWidth="1" min="3" max="6" width="10.71"/>
  </cols>
  <sheetData>
    <row r="1" ht="14.25" customHeight="1">
      <c r="A1" s="60" t="s">
        <v>146</v>
      </c>
      <c r="B1" s="60" t="s">
        <v>147</v>
      </c>
    </row>
    <row r="2" ht="46.5" customHeight="1">
      <c r="A2" s="69" t="s">
        <v>169</v>
      </c>
      <c r="B2" s="70" t="s">
        <v>171</v>
      </c>
    </row>
    <row r="3" ht="27.0" customHeight="1">
      <c r="A3" s="71" t="s">
        <v>172</v>
      </c>
      <c r="B3" s="72" t="s">
        <v>173</v>
      </c>
    </row>
    <row r="4" ht="46.5" customHeight="1">
      <c r="A4" s="73" t="s">
        <v>174</v>
      </c>
      <c r="B4" s="74" t="s">
        <v>175</v>
      </c>
    </row>
    <row r="5" ht="29.25" customHeight="1">
      <c r="A5" s="75" t="s">
        <v>176</v>
      </c>
      <c r="B5" s="76" t="s">
        <v>177</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80.0"/>
    <col customWidth="1" min="3" max="6" width="10.71"/>
  </cols>
  <sheetData>
    <row r="1" ht="14.25" customHeight="1">
      <c r="A1" s="60" t="s">
        <v>146</v>
      </c>
      <c r="B1" s="60" t="s">
        <v>147</v>
      </c>
    </row>
    <row r="2" ht="69.75" customHeight="1">
      <c r="A2" s="77" t="s">
        <v>169</v>
      </c>
      <c r="B2" s="70" t="s">
        <v>178</v>
      </c>
    </row>
    <row r="3" ht="48.0" customHeight="1">
      <c r="A3" s="77" t="s">
        <v>179</v>
      </c>
      <c r="B3" s="70" t="s">
        <v>180</v>
      </c>
    </row>
    <row r="4" ht="46.5" customHeight="1">
      <c r="A4" s="77" t="s">
        <v>148</v>
      </c>
      <c r="B4" s="77" t="s">
        <v>181</v>
      </c>
    </row>
    <row r="5" ht="60.75" customHeight="1">
      <c r="A5" s="77" t="s">
        <v>182</v>
      </c>
      <c r="B5" s="70" t="s">
        <v>183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57.29"/>
    <col customWidth="1" min="3" max="6" width="10.71"/>
  </cols>
  <sheetData>
    <row r="1" ht="14.25" customHeight="1">
      <c r="A1" s="60" t="s">
        <v>146</v>
      </c>
      <c r="B1" s="60" t="s">
        <v>147</v>
      </c>
    </row>
    <row r="2" ht="31.5" customHeight="1">
      <c r="A2" s="69" t="s">
        <v>169</v>
      </c>
      <c r="B2" s="70" t="s">
        <v>184</v>
      </c>
    </row>
    <row r="3" ht="42.75" customHeight="1">
      <c r="A3" s="78" t="s">
        <v>179</v>
      </c>
      <c r="B3" s="72" t="s">
        <v>185</v>
      </c>
    </row>
    <row r="4" ht="34.5" customHeight="1">
      <c r="A4" s="79" t="s">
        <v>148</v>
      </c>
      <c r="B4" s="74" t="s">
        <v>186</v>
      </c>
    </row>
    <row r="5" ht="30.0" customHeight="1">
      <c r="A5" s="80" t="s">
        <v>182</v>
      </c>
      <c r="B5" s="76" t="s">
        <v>187</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4" width="10.71"/>
  </cols>
  <sheetData>
    <row r="1" ht="14.25" customHeight="1">
      <c r="A1" s="60" t="s">
        <v>146</v>
      </c>
      <c r="B1" s="60" t="s">
        <v>147</v>
      </c>
    </row>
    <row r="2" ht="112.5" customHeight="1">
      <c r="A2" s="81" t="s">
        <v>188</v>
      </c>
      <c r="B2" s="82" t="s">
        <v>189</v>
      </c>
    </row>
    <row r="3" ht="112.5" customHeight="1">
      <c r="A3" s="82" t="s">
        <v>190</v>
      </c>
      <c r="B3" s="82" t="s">
        <v>191</v>
      </c>
    </row>
    <row r="4" ht="112.5" customHeight="1">
      <c r="A4" s="81" t="s">
        <v>192</v>
      </c>
      <c r="B4" s="82" t="s">
        <v>193</v>
      </c>
    </row>
    <row r="5" ht="112.5" customHeight="1">
      <c r="A5" s="82" t="s">
        <v>194</v>
      </c>
      <c r="B5" s="82" t="s">
        <v>195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14"/>
    <col customWidth="1" min="2" max="2" width="103.0"/>
    <col customWidth="1" min="3" max="6" width="10.71"/>
  </cols>
  <sheetData>
    <row r="1" ht="14.25" customHeight="1">
      <c r="A1" s="83" t="s">
        <v>146</v>
      </c>
      <c r="B1" s="83" t="s">
        <v>147</v>
      </c>
    </row>
    <row r="2" ht="124.5" customHeight="1">
      <c r="A2" s="84" t="s">
        <v>196</v>
      </c>
      <c r="B2" s="70" t="s">
        <v>197</v>
      </c>
    </row>
    <row r="3" ht="129.0" customHeight="1">
      <c r="A3" s="84" t="s">
        <v>198</v>
      </c>
      <c r="B3" s="85" t="s">
        <v>199</v>
      </c>
    </row>
    <row r="4" ht="14.25" customHeight="1">
      <c r="A4" s="86"/>
      <c r="B4" s="87"/>
    </row>
    <row r="5" ht="14.25" customHeight="1">
      <c r="A5" s="88"/>
      <c r="B5" s="89"/>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